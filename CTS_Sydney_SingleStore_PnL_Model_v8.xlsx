
<file path=[Content_Types].xml><?xml version="1.0" encoding="utf-8"?>
<ns0:Types xmlns:ns0="http://schemas.openxmlformats.org/package/2006/content-types">
  <ns0:Default Extension="png" ContentType="image/png"/>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tables/table1.xml" ContentType="application/vnd.openxmlformats-officedocument.spreadsheetml.table+xml"/>
  <ns0:Override PartName="/xl/tables/table2.xml" ContentType="application/vnd.openxmlformats-officedocument.spreadsheetml.table+xml"/>
  <ns0:Override PartName="/xl/drawings/drawing2.xml" ContentType="application/vnd.openxmlformats-officedocument.drawing+xml"/>
  <ns0:Override PartName="/xl/tables/table3.xml" ContentType="application/vnd.openxmlformats-officedocument.spreadsheetml.table+xml"/>
  <ns0:Override PartName="/xl/tables/table4.xml" ContentType="application/vnd.openxmlformats-officedocument.spreadsheetml.table+xml"/>
  <ns0:Override PartName="/xl/tables/table5.xml" ContentType="application/vnd.openxmlformats-officedocument.spreadsheetml.table+xml"/>
  <ns0:Override PartName="/xl/tables/table6.xml" ContentType="application/vnd.openxmlformats-officedocument.spreadsheetml.table+xml"/>
  <ns0:Override PartName="/xl/tables/table7.xml" ContentType="application/vnd.openxmlformats-officedocument.spreadsheetml.table+xml"/>
  <ns0:Override PartName="/xl/calcChain.xml" ContentType="application/vnd.openxmlformats-officedocument.spreadsheetml.calcChain+xml"/>
  <ns0:Override PartName="/docProps/core.xml" ContentType="application/vnd.openxmlformats-package.core-properties+xml"/>
  <ns0:Override PartName="/docProps/app.xml" ContentType="application/vnd.openxmlformats-officedocument.extended-properties+xml"/>
  <ns0:Override PartName="/xl/worksheets/sheet11.xml" ContentType="application/vnd.openxmlformats-officedocument.spreadsheetml.worksheet+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8/calcfeatures" ns1:Ignorable="x15 xr xr6 xr10 xr2">
  <ns0:fileVersion appName="xl" lastEdited="7" lowestEdited="7" rupBuild="10125"/>
  <ns0:workbookPr/>
  <ns1:AlternateContent>
    <ns1:Choice Requires="x15">
      <ns2:absPath url="/Users/monslanguorem/Desktop/Chow Tai Seng Project/"/>
    </ns1:Choice>
  </ns1:AlternateContent>
  <ns3:revisionPtr revIDLastSave="0" documentId="13_ncr:1_{F3A33E1A-E026-414B-A2D7-76F7C260223D}" ns4:coauthVersionLast="47" ns4:coauthVersionMax="47" ns5:uidLastSave="{00000000-0000-0000-0000-000000000000}"/>
  <ns0:bookViews>
    <ns0:workbookView xWindow="0" yWindow="760" windowWidth="30240" windowHeight="17680" ns6:uid="{00000000-000D-0000-FFFF-FFFF00000000}"/>
  </ns0:bookViews>
  <ns0:sheets>
    <ns0:sheet name="README" sheetId="1" ns7:id="rId1"/>
    <ns0:sheet name="Inputs_Global" sheetId="2" ns7:id="rId2"/>
    <ns0:sheet name="Locations" sheetId="3" ns7:id="rId3"/>
    <ns0:sheet name="P&amp;L_Annual" sheetId="4" ns7:id="rId4"/>
    <ns0:sheet name="LocationOutputs" sheetId="5" ns7:id="rId5"/>
    <ns0:sheet name="Mappings" sheetId="6" ns7:id="rId6"/>
    <ns0:sheet name="Metrics_Library" sheetId="7" ns7:id="rId7"/>
    <ns0:sheet name="Input_Data_Clusters" sheetId="8" ns7:id="rId8"/>
    <ns0:sheet name="Input_Data_Brands" sheetId="9" ns7:id="rId9"/>
    <ns0:sheet name="Input_Data_WestfieldRent" sheetId="10" ns7:id="rId10"/>
    <ns0:sheet name="Dashboard_Data" sheetId="11" ns7:id="rId15"/>
  </ns0:sheets>
  <ns0:calcPr calcId="191029" iterate="1"/>
  <ns0:extLst>
    <ns0:ext uri="{B58B0392-4F1F-4190-BB64-5DF3571DCE5F}">
      <ns8:calcFeatures>
        <ns8:feature name="microsoft.com:RD"/>
        <ns8:feature name="microsoft.com:Single"/>
        <ns8:feature name="microsoft.com:FV"/>
        <ns8:feature name="microsoft.com:CNMTM"/>
        <ns8:feature name="microsoft.com:LET_WF"/>
        <ns8:feature name="microsoft.com:ARRAYTEXT_WF"/>
      </ns8:calcFeatures>
    </ns0:ext>
  </ns0:extLst>
</ns0:workbook>
</file>

<file path=xl/calcChain.xml><?xml version="1.0" encoding="utf-8"?>
<calcChain xmlns="http://schemas.openxmlformats.org/spreadsheetml/2006/main">
  <c r="E14" i="5" l="1"/>
  <c r="D14" i="5"/>
  <c r="C14" i="5"/>
  <c r="B14" i="5"/>
  <c r="E13" i="5"/>
  <c r="D13" i="5"/>
  <c r="C13" i="5"/>
  <c r="B13" i="5"/>
  <c r="E12" i="5"/>
  <c r="D12" i="5"/>
  <c r="C12" i="5"/>
  <c r="B12" i="5"/>
  <c r="E11" i="5"/>
  <c r="D11" i="5"/>
  <c r="C11" i="5"/>
  <c r="B11" i="5"/>
  <c r="E10" i="5"/>
  <c r="D10" i="5"/>
  <c r="C10" i="5"/>
  <c r="B10" i="5"/>
  <c r="E9" i="5"/>
  <c r="D9" i="5"/>
  <c r="C9" i="5"/>
  <c r="B9" i="5"/>
  <c r="E8" i="5"/>
  <c r="D8" i="5"/>
  <c r="C8" i="5"/>
  <c r="B8" i="5"/>
  <c r="E7" i="5"/>
  <c r="D7" i="5"/>
  <c r="C7" i="5"/>
  <c r="B7" i="5"/>
  <c r="E6" i="5"/>
  <c r="D6" i="5"/>
  <c r="C6" i="5"/>
  <c r="B6" i="5"/>
  <c r="E5" i="5"/>
  <c r="D5" i="5"/>
  <c r="C5" i="5"/>
  <c r="B5" i="5"/>
  <c r="E4" i="5"/>
  <c r="D4" i="5"/>
  <c r="C4" i="5"/>
  <c r="B4" i="5"/>
  <c r="G48" i="4"/>
  <c r="F48" i="4"/>
  <c r="E48" i="4"/>
  <c r="D48" i="4"/>
  <c r="C48" i="4"/>
  <c r="B48" i="4"/>
  <c r="B28" i="4"/>
  <c r="B27" i="4"/>
  <c r="B25" i="4"/>
  <c r="B21" i="4"/>
  <c r="B22" i="4" s="1"/>
  <c r="B11" i="4"/>
  <c r="B10" i="4"/>
  <c r="B20" i="4" s="1"/>
  <c r="B9" i="4"/>
  <c r="B29" i="4" s="1"/>
  <c r="B8" i="4"/>
  <c r="B7" i="4"/>
  <c r="B6" i="4"/>
  <c r="P14" i="3"/>
  <c r="O14" i="3"/>
  <c r="H14" i="3" s="1"/>
  <c r="F14" i="5" s="1"/>
  <c r="G14" i="3"/>
  <c r="P13" i="3"/>
  <c r="O13" i="3"/>
  <c r="H13" i="3"/>
  <c r="F13" i="5" s="1"/>
  <c r="G13" i="3"/>
  <c r="P12" i="3"/>
  <c r="H12" i="3" s="1"/>
  <c r="F12" i="5" s="1"/>
  <c r="O12" i="3"/>
  <c r="G12" i="3"/>
  <c r="P11" i="3"/>
  <c r="O11" i="3"/>
  <c r="H11" i="3"/>
  <c r="F11" i="5" s="1"/>
  <c r="G11" i="3"/>
  <c r="P10" i="3"/>
  <c r="O10" i="3"/>
  <c r="H10" i="3"/>
  <c r="F10" i="5" s="1"/>
  <c r="G10" i="3"/>
  <c r="P9" i="3"/>
  <c r="O9" i="3"/>
  <c r="H9" i="3" s="1"/>
  <c r="F9" i="5" s="1"/>
  <c r="G9" i="3"/>
  <c r="P8" i="3"/>
  <c r="O8" i="3"/>
  <c r="H8" i="3"/>
  <c r="F8" i="5" s="1"/>
  <c r="G8" i="3"/>
  <c r="P7" i="3"/>
  <c r="O7" i="3"/>
  <c r="H7" i="3"/>
  <c r="F7" i="5" s="1"/>
  <c r="G7" i="3"/>
  <c r="P6" i="3"/>
  <c r="O6" i="3"/>
  <c r="H6" i="3" s="1"/>
  <c r="F6" i="5" s="1"/>
  <c r="G6" i="5" s="1"/>
  <c r="G6" i="3"/>
  <c r="P5" i="3"/>
  <c r="O5" i="3"/>
  <c r="H5" i="3"/>
  <c r="F5" i="5" s="1"/>
  <c r="G5" i="3"/>
  <c r="P4" i="3"/>
  <c r="H4" i="3" s="1"/>
  <c r="F4" i="5" s="1"/>
  <c r="O4" i="3"/>
  <c r="G4" i="3"/>
  <c r="B26" i="4" l="1"/>
  <c r="G11" i="5"/>
  <c r="H11" i="5" s="1"/>
  <c r="L11" i="5" s="1"/>
  <c r="G9" i="5"/>
  <c r="H9" i="5" s="1"/>
  <c r="B16" i="4"/>
  <c r="C42" i="4" s="1"/>
  <c r="C46" i="4"/>
  <c r="E46" i="4"/>
  <c r="G46" i="4"/>
  <c r="F46" i="4"/>
  <c r="G5" i="5"/>
  <c r="I5" i="5" s="1"/>
  <c r="I11" i="5"/>
  <c r="L9" i="5"/>
  <c r="I9" i="5"/>
  <c r="J9" i="5" s="1"/>
  <c r="K9" i="5" s="1"/>
  <c r="J9" i="3" s="1"/>
  <c r="G4" i="5"/>
  <c r="H4" i="5" s="1"/>
  <c r="G10" i="5"/>
  <c r="H10" i="5" s="1"/>
  <c r="G12" i="5"/>
  <c r="I12" i="5" s="1"/>
  <c r="G7" i="5"/>
  <c r="H7" i="5" s="1"/>
  <c r="G13" i="5"/>
  <c r="H6" i="5"/>
  <c r="I6" i="5"/>
  <c r="D46" i="4"/>
  <c r="G8" i="5"/>
  <c r="G14" i="5"/>
  <c r="E42" i="4" l="1"/>
  <c r="E43" i="4" s="1"/>
  <c r="E44" i="4" s="1"/>
  <c r="E45" i="4" s="1"/>
  <c r="E47" i="4" s="1"/>
  <c r="E49" i="4" s="1"/>
  <c r="F42" i="4"/>
  <c r="F43" i="4" s="1"/>
  <c r="F44" i="4" s="1"/>
  <c r="F45" i="4" s="1"/>
  <c r="F47" i="4" s="1"/>
  <c r="F49" i="4" s="1"/>
  <c r="I10" i="5"/>
  <c r="J10" i="5" s="1"/>
  <c r="K10" i="5" s="1"/>
  <c r="J10" i="3" s="1"/>
  <c r="I7" i="5"/>
  <c r="L7" i="5"/>
  <c r="B24" i="4"/>
  <c r="D42" i="4"/>
  <c r="D43" i="4" s="1"/>
  <c r="D44" i="4" s="1"/>
  <c r="B17" i="4"/>
  <c r="B41" i="4" s="1"/>
  <c r="B47" i="4" s="1"/>
  <c r="B49" i="4" s="1"/>
  <c r="B23" i="4"/>
  <c r="G42" i="4"/>
  <c r="G43" i="4" s="1"/>
  <c r="G44" i="4" s="1"/>
  <c r="G45" i="4" s="1"/>
  <c r="G47" i="4" s="1"/>
  <c r="G49" i="4" s="1"/>
  <c r="L10" i="5"/>
  <c r="I4" i="5"/>
  <c r="J4" i="5" s="1"/>
  <c r="K4" i="5" s="1"/>
  <c r="J4" i="3" s="1"/>
  <c r="L4" i="5"/>
  <c r="H5" i="5"/>
  <c r="J5" i="5" s="1"/>
  <c r="K5" i="5" s="1"/>
  <c r="J5" i="3" s="1"/>
  <c r="H12" i="5"/>
  <c r="J12" i="5" s="1"/>
  <c r="K12" i="5" s="1"/>
  <c r="J12" i="3" s="1"/>
  <c r="J6" i="5"/>
  <c r="K6" i="5" s="1"/>
  <c r="J6" i="3" s="1"/>
  <c r="I14" i="5"/>
  <c r="H14" i="5"/>
  <c r="L6" i="5"/>
  <c r="I8" i="5"/>
  <c r="H8" i="5"/>
  <c r="I13" i="5"/>
  <c r="H13" i="5"/>
  <c r="J11" i="5"/>
  <c r="K11" i="5" s="1"/>
  <c r="J11" i="3" s="1"/>
  <c r="J7" i="5"/>
  <c r="K7" i="5" s="1"/>
  <c r="J7" i="3" s="1"/>
  <c r="D45" i="4" l="1"/>
  <c r="D47" i="4" s="1"/>
  <c r="D49" i="4" s="1"/>
  <c r="B18" i="4"/>
  <c r="J14" i="5"/>
  <c r="K14" i="5" s="1"/>
  <c r="J14" i="3" s="1"/>
  <c r="B30" i="4"/>
  <c r="L5" i="5"/>
  <c r="J13" i="5"/>
  <c r="K13" i="5" s="1"/>
  <c r="J13" i="3" s="1"/>
  <c r="L13" i="5"/>
  <c r="L12" i="5"/>
  <c r="J8" i="5"/>
  <c r="K8" i="5" s="1"/>
  <c r="J8" i="3" s="1"/>
  <c r="L8" i="5"/>
  <c r="L14" i="5"/>
  <c r="B31" i="4" l="1"/>
  <c r="C43" i="4" s="1"/>
  <c r="B32" i="4" l="1"/>
  <c r="C44" i="4" s="1"/>
  <c r="B33" i="4" l="1"/>
  <c r="C45" i="4" s="1"/>
  <c r="C47" i="4" s="1"/>
  <c r="C49" i="4" s="1"/>
  <c r="B51" i="4" s="1"/>
</calcChain>
</file>

<file path=xl/sharedStrings.xml><?xml version="1.0" encoding="utf-8"?>
<sst xmlns="http://schemas.openxmlformats.org/spreadsheetml/2006/main" count="684" uniqueCount="420">
  <si>
    <t>Chow Tai Seng – Sydney Single Store P&amp;L Model (v6)</t>
  </si>
  <si>
    <t>How to use (quick):</t>
  </si>
  <si>
    <t>1) Go to 'P&amp;L_Annual' and select a Location_ID in cell B3 (drop-down).</t>
  </si>
  <si>
    <t>2) Update global assumptions in 'Inputs_Global' (BLUE inputs). Yellow values are UNCONFIRMED and need sources/quotes.</t>
  </si>
  <si>
    <t>3) 'Locations' calculates Sales_Index from income + footfall proxies (indices and weights).</t>
  </si>
  <si>
    <t>4) P&amp;L_Annual uses: Revenue = Store_Size × Sales_per_sqm × Sales_Index; costs follow Inputs_Global assumptions.</t>
  </si>
  <si>
    <t>5) 'LocationOutputs' compares all candidate locations and now includes Initial_Investment_AUD per location.</t>
  </si>
  <si>
    <t>6) NPV table is at the bottom of 'P&amp;L_Annual' (5y horizon; discount = CPI; sales growth = 5%; costs escalate with CPI).</t>
  </si>
  <si>
    <t>Why Sales_Index exists (and how it’s calculated):</t>
  </si>
  <si>
    <t>Footfall_Proxy uses Scentre Group 'annual customer visits' (millions) from the 2024 Property Compendium for Westfield centres. To avoid mixing inconsistent footfall sources/units, street clusters (CBD / Haymarket / Chatswood strip) are currently proxied using the nearest comparable Westfield centre’s annual visits (i.e., Street factor = 1.0). Replace this with a single audited street-footfall dataset when available.</t>
  </si>
  <si>
    <t>What is the 'Mappings' sheet?</t>
  </si>
  <si>
    <t>'Mappings' is a helper table that maps real-world store/cluster names (e.g., 'Pitt St Mall jewellery cluster') to the Location_IDs used by the model. It prevents broken lookups when spellings differ across datasets.</t>
  </si>
  <si>
    <t>Black text: formulas.</t>
  </si>
  <si>
    <t>Initial investment = Fitout capex + Opening inventory (months of COGS) + Lease deposit (months of rent) + Pre-opening costs (all in Inputs_Global).</t>
  </si>
  <si>
    <t>Notes</t>
  </si>
  <si>
    <t>This is a feasibility P&amp;L (single-store operating model). It is not a full 3-statement model.</t>
  </si>
  <si>
    <t>If Excel shows any warnings, they should not be formula errors (#NAME, #REF, etc.). There should be none in this file.</t>
  </si>
  <si>
    <t>Global assumptions (edit BLUE cells)</t>
  </si>
  <si>
    <t>Assumption</t>
  </si>
  <si>
    <t>Value</t>
  </si>
  <si>
    <t>Units</t>
  </si>
  <si>
    <t>Rationale (why we use it)</t>
  </si>
  <si>
    <t>Source_URL(s)</t>
  </si>
  <si>
    <t>Default store size</t>
  </si>
  <si>
    <t>sqm</t>
  </si>
  <si>
    <t>Starting point based on typical specialty jewellery unit size in malls; overwrite per location if known. UNCONFIRMED: validate with market benchmarks/quotes.</t>
  </si>
  <si>
    <t>UNCONFIRMED – needs source/quote</t>
  </si>
  <si>
    <t>Sales per sqm (base)</t>
  </si>
  <si>
    <t>AUD / sqm / year</t>
  </si>
  <si>
    <t>Base sales density for Year‑1 before Sales_Index. Pulled from Scentre Group 2024 Property Compendium: Westfield Sydney specialty sales (MAT) for specialty stores &lt;400sqm is ~A$27.5k per sqm (2024). Use as defensible starting point until CTS store benchmarks are available.</t>
  </si>
  <si>
    <t>https://assets.ctfassets.net/0vreywxqlgab/2jCDgyNRHOqTByrcni3uKv/47f440c291228ef086d42355f46d237f/2024_Property_Compendium.xlsx
UNCONFIRMED – replace with CTS benchmark if available</t>
  </si>
  <si>
    <t>Sales_Index (default)</t>
  </si>
  <si>
    <t>x</t>
  </si>
  <si>
    <t>Location multiplier applied to base sales per sqm. Each location has its own Sales_Index input. UNCONFIRMED: validate with market benchmarks/quotes.</t>
  </si>
  <si>
    <t>Default value</t>
  </si>
  <si>
    <t>Gross margin</t>
  </si>
  <si>
    <t>% of sales</t>
  </si>
  <si>
    <t>Gross margin % of sales (blended). Jewellery retailers in Australia/NZ report ~60% gross margin (e.g., Michael Hill reported ~60.4% in FY2024). Use as starting point until CTS product mix and target margin are provided.</t>
  </si>
  <si>
    <t>https://announcements.asx.com.au/asxpdf/20240829/pdf/0668rfd20kzj4j.pdf
UNCONFIRMED – refine with CTS mix/target margin</t>
  </si>
  <si>
    <t>Merchant fee rate</t>
  </si>
  <si>
    <t>Card payment fees as % of sales (blended).</t>
  </si>
  <si>
    <t>https://www.rba.gov.au/statistics/frequency/retail-payments/2025/retail-payments-0225.html</t>
  </si>
  <si>
    <t>Marketing – fixed</t>
  </si>
  <si>
    <t>AUD / year</t>
  </si>
  <si>
    <t>Fixed local activation / PR / community events budget for a new store (baseline). Kept separate from %‑of‑sales variable spend because a new market entry often has minimum run‑rate activity even at low sales. Treat as placeholder until CTS launch plan/agency quotes are available.</t>
  </si>
  <si>
    <t>https://www.etropo.com/blog/marketing-budgeting/average-marketing-budget-by-industry
UNCONFIRMED – needs CTS launch plan/quotes</t>
  </si>
  <si>
    <t>Marketing – variable</t>
  </si>
  <si>
    <t>Variable marketing spend as % of sales (ongoing campaigns, promo, influencer/affiliate, performance). Benchmark ranges for retail marketing budgets are commonly cited around ~5–9% of revenue; we set 4% as a conservative lower-bound and keep a separate fixed local-activation budget. Adjust once CTS go‑to‑market plan is confirmed.</t>
  </si>
  <si>
    <t>https://www.etropo.com/blog/marketing-budgeting/average-marketing-budget-by-industry
https://www.gartner.com/en/articles/gartner-cmo-spend-survey-2024</t>
  </si>
  <si>
    <t>Logistics &amp; import (excl. GST)</t>
  </si>
  <si>
    <t>Placeholder for international freight + customs brokerage + import processing charges + local handling/warehousing for imported inventory. Order‑of‑magnitude check: freight+brokerage often lands in low single‑digit % of import value; for a store with high inventory throughput this can translate to ~A$10–50k/yr. Replace with logistics quotes and actual duty/IPC.</t>
  </si>
  <si>
    <t>Admin &amp; compliance</t>
  </si>
  <si>
    <t>Bundle for accounting/bookkeeping, company compliance (ASIC), software (accounting/POS), bank fees, basic legal/admin. Use as placeholder until CTS ops stack and outsourcing decisions are known (in‑house vs outsourced bookkeeping).</t>
  </si>
  <si>
    <t>Utilities</t>
  </si>
  <si>
    <t>Electricity + utilities proxy for a small retail unit. Many mall leases also recover some utilities via outgoings, so treat as placeholder until lease terms are confirmed. Scaled to ~A$9k/yr for 60sqm (150/sqm/yr).</t>
  </si>
  <si>
    <t>Insurance</t>
  </si>
  <si>
    <t>Business insurance proxy (public liability + property/contents; jewellery stock cover may materially increase premium). Use as placeholder until broker quote using CTS inventory value and security measures is obtained.</t>
  </si>
  <si>
    <t>Fitout capex</t>
  </si>
  <si>
    <t>AUD / sqm</t>
  </si>
  <si>
    <t>Fitout benchmark for retail boutiques (range-based); replace with Sydney contractor quotes. Used for initial investment and depreciation.</t>
  </si>
  <si>
    <t>https://www.totalfitouts.com.au/blog/2025-pricing-per-square-meter-m%C2%B2-for-fitouts-in-australia/</t>
  </si>
  <si>
    <t>Fitout life</t>
  </si>
  <si>
    <t>years</t>
  </si>
  <si>
    <t>Depreciation life assumption for leasehold fitout for modelling (not tax). Often aligned to typical specialty retail lease terms (e.g., ~5 years) for conservative payback analysis; confirm with CTS accounting policy and lease term.</t>
  </si>
  <si>
    <t>Store manager salary</t>
  </si>
  <si>
    <t>Salary benchmark aligned to Sydney retail store manager ranges; replace with CTS pay structure and roster model.</t>
  </si>
  <si>
    <t>https://www.seek.com.au/career-advice/role/store-manager/salary/in-sydney</t>
  </si>
  <si>
    <t>Sales staff salary</t>
  </si>
  <si>
    <t>Sales staff FTE annual cost proxy; validate with roster (award base + penalties) and CTS commission structure.</t>
  </si>
  <si>
    <t>https://www.seek.com.au/career-advice/role/sales-representative/salary/in-sydney</t>
  </si>
  <si>
    <t>Sales staff FTE</t>
  </si>
  <si>
    <t>FTE</t>
  </si>
  <si>
    <t>Baseline staffing level; adjust for trading hours and service model. UNCONFIRMED: validate with market benchmarks/quotes.</t>
  </si>
  <si>
    <t>Superannuation rate</t>
  </si>
  <si>
    <t>% of wages</t>
  </si>
  <si>
    <t>Statutory SG rate (Australia).</t>
  </si>
  <si>
    <t>https://www.ato.gov.au/tax-rates-and-codes/key-superannuation-rates-and-thresholds/super-guarantee</t>
  </si>
  <si>
    <t>Company tax rate</t>
  </si>
  <si>
    <t>% of profit</t>
  </si>
  <si>
    <t>Base rate entity tax rate (Australia).</t>
  </si>
  <si>
    <t>https://www.ato.gov.au/tax-rates-and-codes/company-tax-rate</t>
  </si>
  <si>
    <t>Sales Index weight – income</t>
  </si>
  <si>
    <t>share</t>
  </si>
  <si>
    <t>UNCONFIRMED: placeholder until quotes/CTS inputs are available. Weight of income-driven demand proxy in Sales_Index (Income_Index).</t>
  </si>
  <si>
    <t>UNCONFIRMED – choose/validate</t>
  </si>
  <si>
    <t>Sales Index weight – footfall</t>
  </si>
  <si>
    <t>UNCONFIRMED: placeholder until quotes/CTS inputs are available. Weight of footfall-driven demand proxy in Sales_Index (Footfall_Index). Weights should sum to 1.</t>
  </si>
  <si>
    <t>Baseline HH income – Greater Sydney (median weekly)</t>
  </si>
  <si>
    <t>AUD / HH / week</t>
  </si>
  <si>
    <t>Baseline used to convert area median HH income into Income_Index (area / baseline).</t>
  </si>
  <si>
    <t>https://abs.gov.au/census/find-census-data/quickstats/2021/1GSYD</t>
  </si>
  <si>
    <t>Baseline footfall – Westfield Sydney annual visits</t>
  </si>
  <si>
    <t>million visits / year</t>
  </si>
  <si>
    <t>Baseline annual customer visits for Westfield Sydney (Scentre Group 2024 Property Compendium) used to normalise Footfall_Index. For non‑Westfield street sites, we currently proxy footfall using the nearest comparable Westfield anchor until a single consistent street-footfall dataset is sourced.</t>
  </si>
  <si>
    <t>https://assets.ctfassets.net/0vreywxqlgab/2jCDgyNRHOqTByrcni3uKv/47f440c291228ef086d42355f46d237f/2024_Property_Compendium.xlsx</t>
  </si>
  <si>
    <t>Street footfall factor vs Westfield anchor</t>
  </si>
  <si>
    <t>Kept as 1.0 for now. Instead of mixing multiple footfall sources, street locations are proxied using the nearest comparable Westfield's annual visits (same compendium) so Footfall_Index stays consistent across all candidate locations. Replace with a single audited street-footfall dataset when available.</t>
  </si>
  <si>
    <t>Lease deposit (months of rent)</t>
  </si>
  <si>
    <t>months</t>
  </si>
  <si>
    <t>UNCONFIRMED: deposit/bond proxy in months of rent. Retail leases commonly negotiate a security amount in months of rent; replace with actual lease terms.</t>
  </si>
  <si>
    <t>https://noonan.com.au/security-deposits-for-commercial-leases/</t>
  </si>
  <si>
    <t>Initial inventory (months of COGS)</t>
  </si>
  <si>
    <t>Pre-opening costs (one-off)</t>
  </si>
  <si>
    <t>AUD</t>
  </si>
  <si>
    <t>One-off pre-opening costs excluding fitout capex: permits, recruitment/training, opening event, initial consumables, systems setup. Keep as placeholder until CTS rollout plan and supplier quotes are known.</t>
  </si>
  <si>
    <t>Discount rate (inflation, annual)</t>
  </si>
  <si>
    <t>%</t>
  </si>
  <si>
    <t>Discount rate set equal to latest AU CPI (annual). Update to latest CPI as needed.</t>
  </si>
  <si>
    <t>https://www.abs.gov.au/media-centre/media-releases/cpi-rose-38-year-december-2025</t>
  </si>
  <si>
    <t>Sales growth (annual)</t>
  </si>
  <si>
    <t>UNCONFIRMED: placeholder until quotes/CTS inputs are available. Conservative nominal sales growth assumption for NPV horizon (5y).</t>
  </si>
  <si>
    <t>UNCONFIRMED – scenario assumption</t>
  </si>
  <si>
    <t>Cost escalation (annual, CPI)</t>
  </si>
  <si>
    <t>Assume rent and fixed OPEX escalate with CPI (nominal).</t>
  </si>
  <si>
    <t>Locations (edit BLUE cells; proxies &amp; indices drive Sales_Index)</t>
  </si>
  <si>
    <t>Location_ID</t>
  </si>
  <si>
    <t>Area</t>
  </si>
  <si>
    <t>Anchor Location</t>
  </si>
  <si>
    <t>Location_Type</t>
  </si>
  <si>
    <t>Store_Size_sqm</t>
  </si>
  <si>
    <t>Rent_Total_AUD_pa</t>
  </si>
  <si>
    <t>Rent_per_sqm_pa</t>
  </si>
  <si>
    <t>Sales_Index</t>
  </si>
  <si>
    <t>Forecast_Net_Income_AUD_pa</t>
  </si>
  <si>
    <t>Income_Proxy_HH_Weekly</t>
  </si>
  <si>
    <t>Income_Source_URL</t>
  </si>
  <si>
    <t>Footfall_Proxy</t>
  </si>
  <si>
    <t>Footfall_Source_URL</t>
  </si>
  <si>
    <t>Income_Index</t>
  </si>
  <si>
    <t>Footfall_Index</t>
  </si>
  <si>
    <t>WF_SYD_PRIME</t>
  </si>
  <si>
    <t>Sydney</t>
  </si>
  <si>
    <t>Westfield Sydney</t>
  </si>
  <si>
    <t>Westfield</t>
  </si>
  <si>
    <t>Highest footfall, highest risk</t>
  </si>
  <si>
    <t>https://abs.gov.au/census/find-census-data/quickstats/2021/SAL13730</t>
  </si>
  <si>
    <t>WF_SYD_SECOND</t>
  </si>
  <si>
    <t>Lower visibility but still premium</t>
  </si>
  <si>
    <t>WF_BONDI</t>
  </si>
  <si>
    <t>Bondi Junction</t>
  </si>
  <si>
    <t>Westfield Bondi Junction</t>
  </si>
  <si>
    <t>Tourist + affluent locals</t>
  </si>
  <si>
    <t>https://abs.gov.au/census/find-census-data/quickstats/2021/118011341</t>
  </si>
  <si>
    <t>WF_PARRA</t>
  </si>
  <si>
    <t>Parramatta</t>
  </si>
  <si>
    <t>Westfield Parramatta</t>
  </si>
  <si>
    <t>Strong conversion, lower rent pressure</t>
  </si>
  <si>
    <t>https://abs.gov.au/census/find-census-data/quickstats/2021/SAL13167</t>
  </si>
  <si>
    <t>WF_CHATSWOOD</t>
  </si>
  <si>
    <t>Chatswood</t>
  </si>
  <si>
    <t>Westfield Chatswood</t>
  </si>
  <si>
    <t>High Asian consumer density</t>
  </si>
  <si>
    <t>https://abs.gov.au/census/find-census-data/quickstats/2021/121011684</t>
  </si>
  <si>
    <t>WF_MIRANDA</t>
  </si>
  <si>
    <t>Miranda</t>
  </si>
  <si>
    <t>Westfield Miranda</t>
  </si>
  <si>
    <t>Family-driven spending</t>
  </si>
  <si>
    <t>https://abs.gov.au/census/find-census-data/quickstats/2021/SAL12656</t>
  </si>
  <si>
    <t>WF_WARRINGAH</t>
  </si>
  <si>
    <t>Warringah Mall</t>
  </si>
  <si>
    <t>Westfield Warringah Mall</t>
  </si>
  <si>
    <t>Lifestyle-focused centre</t>
  </si>
  <si>
    <t>https://abs.gov.au/census/find-census-data/quickstats/2021/SAL10598</t>
  </si>
  <si>
    <t>ST_CBD_CASTL</t>
  </si>
  <si>
    <t>Sydney CBD</t>
  </si>
  <si>
    <t>Castlereagh St luxury cluster</t>
  </si>
  <si>
    <t>Street High-End</t>
  </si>
  <si>
    <t>Assumed street rent; replace with lease comps.</t>
  </si>
  <si>
    <t>https://abs.gov.au/census/find-census-data/quickstats/2021/117031646</t>
  </si>
  <si>
    <t>ST_CBD_PITT</t>
  </si>
  <si>
    <t>Pitt St Mall jewellery cluster</t>
  </si>
  <si>
    <t>Street Prime Strip</t>
  </si>
  <si>
    <t>Prime strip rent anchored to public reports; validate feasibility.</t>
  </si>
  <si>
    <t>ST_CHIN_HAY</t>
  </si>
  <si>
    <t>Chinatown</t>
  </si>
  <si>
    <t>Hay St Chinese jewellery strip</t>
  </si>
  <si>
    <t>Street Ethnic Cluster</t>
  </si>
  <si>
    <t>Assumed street rent; replace with market evidence.</t>
  </si>
  <si>
    <t>https://abs.gov.au/census/find-census-data/quickstats/2021/SAL11884</t>
  </si>
  <si>
    <t>ST_CHAT_VIC</t>
  </si>
  <si>
    <t>Victoria Ave retail strip</t>
  </si>
  <si>
    <t>Street High Street</t>
  </si>
  <si>
    <t>Single Store Profit &amp; Loss (Annual view)</t>
  </si>
  <si>
    <t>Selected Location_ID</t>
  </si>
  <si>
    <t>Location summary (auto)</t>
  </si>
  <si>
    <t>Anchor</t>
  </si>
  <si>
    <t>Type</t>
  </si>
  <si>
    <t>Store size (sqm)</t>
  </si>
  <si>
    <t>Rent total (pa)</t>
  </si>
  <si>
    <t>P&amp;L (Year 1)</t>
  </si>
  <si>
    <t>Line item</t>
  </si>
  <si>
    <t>Revenue</t>
  </si>
  <si>
    <t>COGS</t>
  </si>
  <si>
    <t>Gross Profit</t>
  </si>
  <si>
    <t>Rent (total)</t>
  </si>
  <si>
    <t>Labour (wages)</t>
  </si>
  <si>
    <t>Superannuation</t>
  </si>
  <si>
    <t>Merchant fees</t>
  </si>
  <si>
    <t>Marketing (fixed + variable)</t>
  </si>
  <si>
    <t>Logistics &amp; import</t>
  </si>
  <si>
    <t>Depreciation (fitout)</t>
  </si>
  <si>
    <t>Total OPEX</t>
  </si>
  <si>
    <t>EBIT</t>
  </si>
  <si>
    <t>Income tax</t>
  </si>
  <si>
    <t>Net Income</t>
  </si>
  <si>
    <t>NPV analysis (5-year horizon)</t>
  </si>
  <si>
    <t>Assumptions: 5y horizon; discount rate = AU CPI (annual); sales growth = 5% p.a.; costs escalate with CPI.</t>
  </si>
  <si>
    <t>Discount rate source (ABS CPI Dec-2025):</t>
  </si>
  <si>
    <t>Item</t>
  </si>
  <si>
    <t>Y0</t>
  </si>
  <si>
    <t>Y1</t>
  </si>
  <si>
    <t>Y2</t>
  </si>
  <si>
    <t>Y3</t>
  </si>
  <si>
    <t>Y4</t>
  </si>
  <si>
    <t>Y5</t>
  </si>
  <si>
    <t>Initial investment (cash outflow)</t>
  </si>
  <si>
    <t>Net income</t>
  </si>
  <si>
    <t>Add back depreciation</t>
  </si>
  <si>
    <t>Free cash flow</t>
  </si>
  <si>
    <t>Discount factor</t>
  </si>
  <si>
    <t>Present value (PV)</t>
  </si>
  <si>
    <t>NPV (sum of PVs)</t>
  </si>
  <si>
    <t>Location comparison (computed from same drivers as P&amp;L)</t>
  </si>
  <si>
    <t>Rent_Total_pa</t>
  </si>
  <si>
    <t>Revenue_pa</t>
  </si>
  <si>
    <t>Gross_Profit_pa</t>
  </si>
  <si>
    <t>Total_OPEX_pa</t>
  </si>
  <si>
    <t>EBIT_pa</t>
  </si>
  <si>
    <t>Net_Income_pa</t>
  </si>
  <si>
    <t>Initial_Investment_AUD</t>
  </si>
  <si>
    <t>Mappings (helper): standardises names → Location_ID (used for consistent lookups)</t>
  </si>
  <si>
    <t>If a source dataset uses a different wording for the same place, add it here so all formulas still work.</t>
  </si>
  <si>
    <t>Mapped_Location_ID</t>
  </si>
  <si>
    <t>Mapping note</t>
  </si>
  <si>
    <t>Direct match (candidate cluster)</t>
  </si>
  <si>
    <t>King St luxury cluster</t>
  </si>
  <si>
    <t>Proxy: CBD luxury cluster (validate)</t>
  </si>
  <si>
    <t>Queen Victoria Building (QVB)</t>
  </si>
  <si>
    <t>Proxy: CBD prime retail (validate)</t>
  </si>
  <si>
    <t>Sussex St Haymarket jewellery</t>
  </si>
  <si>
    <t>Proxy: Chinatown/Haymarket (validate)</t>
  </si>
  <si>
    <t>Direct match (candidate centre)</t>
  </si>
  <si>
    <t>Metrics to collect (P&amp;L drivers + spatial indicators)</t>
  </si>
  <si>
    <t>Metric</t>
  </si>
  <si>
    <t>Category</t>
  </si>
  <si>
    <t>Short definition</t>
  </si>
  <si>
    <t>Used in current P&amp;L?</t>
  </si>
  <si>
    <t>Data availability</t>
  </si>
  <si>
    <t>Geography level</t>
  </si>
  <si>
    <t>Source URL(s)</t>
  </si>
  <si>
    <t>Why it matters / how to use</t>
  </si>
  <si>
    <t>Store</t>
  </si>
  <si>
    <t>Net lettable area for the store</t>
  </si>
  <si>
    <t>Y</t>
  </si>
  <si>
    <t>Internal / lease</t>
  </si>
  <si>
    <t>(lease plan / landlord)</t>
  </si>
  <si>
    <t>Key driver of revenue (sales density) and fitout capex.</t>
  </si>
  <si>
    <t>Base rent (AUD/year)</t>
  </si>
  <si>
    <t>Rent</t>
  </si>
  <si>
    <t>Fixed base rent under lease (excl. turnover)</t>
  </si>
  <si>
    <t>Internal / landlord</t>
  </si>
  <si>
    <t>(lease schedule / landlord)</t>
  </si>
  <si>
    <t>Largest fixed cost; also drives deposit and feasibility.</t>
  </si>
  <si>
    <t>Fitout capex (AUD/sqm)</t>
  </si>
  <si>
    <t>Capex</t>
  </si>
  <si>
    <t>Initial store fitout cost per sqm</t>
  </si>
  <si>
    <t>Benchmark + quotes</t>
  </si>
  <si>
    <t>Drives initial investment and depreciation.</t>
  </si>
  <si>
    <t>Sales per sqm (AUD/sqm/year)</t>
  </si>
  <si>
    <t>Annual sales density benchmark</t>
  </si>
  <si>
    <t>Scentre Group 2024 Property Compendium: Specialty Sales (MAT) $/sqm for specialty stores &lt;400sqm. Used as a defensible base sales density until CTS internal store benchmarks are available.</t>
  </si>
  <si>
    <t>Centre/Store proxy</t>
  </si>
  <si>
    <t>Anchors Year-1 revenue baseline; location differences handled via Sales_Index.</t>
  </si>
  <si>
    <t>Sales_Index (income+footfall)</t>
  </si>
  <si>
    <t>Revenue proxy</t>
  </si>
  <si>
    <t>Composite index from income and footfall proxies</t>
  </si>
  <si>
    <t>Sales Index blends two normalised proxies: Income_Index (median weekly household income vs baseline) and Footfall_Index (annual visits vs baseline). Sales_Index = IncomeWeight*Income_Index + FootfallWeight*Footfall_Index. We use this because direct store revenue forecasts by precinct are not available; the index keeps the model location‑sensitive using observable proxies.</t>
  </si>
  <si>
    <t>(see Inputs_Global for weights + sources)</t>
  </si>
  <si>
    <t>SA2 + centre/station</t>
  </si>
  <si>
    <t>ABS QuickStats + Scentre / TfNSW / City of Sydney</t>
  </si>
  <si>
    <t>Makes revenue district-sensitive when store-level sales data is unavailable.</t>
  </si>
  <si>
    <t>Gross margin (%)</t>
  </si>
  <si>
    <t>Margin</t>
  </si>
  <si>
    <t>1-COGS% of sales</t>
  </si>
  <si>
    <t>Jewellery retailer gross margin reference point; Michael Hill reported ~60.4% gross margin in FY2024. Used as starting point until CTS product mix / margin targets are provided.</t>
  </si>
  <si>
    <t>https://announcements.asx.com.au/asxpdf/20240829/pdf/0668rfd20kzj4j.pdf</t>
  </si>
  <si>
    <t>Store (proxy)</t>
  </si>
  <si>
    <t>https://announcements.asx.com.au/asxpdf/20240830/pdf/067c0yy1h0157n.pdf | https://announcements.asx.com.au/asxpdf/20240827/pdf/0672gm873byl16.pdf</t>
  </si>
  <si>
    <t>Major driver of profitability; replace with CTS product mix targets.</t>
  </si>
  <si>
    <t>Merchant fee rate (%)</t>
  </si>
  <si>
    <t>Payments</t>
  </si>
  <si>
    <t>Average merchant service fees as % of sales</t>
  </si>
  <si>
    <t>Yes</t>
  </si>
  <si>
    <t>National</t>
  </si>
  <si>
    <t>Scales with revenue; can be validated with merchant acquiring quotes.</t>
  </si>
  <si>
    <t>Award wage rates + penalties</t>
  </si>
  <si>
    <t>Labour</t>
  </si>
  <si>
    <t>Minimum wage rates and penalty rates</t>
  </si>
  <si>
    <t>https://portal.fairwork.gov.au/ArticleDocuments/872/general-retail-industry-award-ma000004-pay-guide.pdf.aspx</t>
  </si>
  <si>
    <t>Supports staffing cost modelling; later used for roster-level detail.</t>
  </si>
  <si>
    <t>Superannuation guarantee rate</t>
  </si>
  <si>
    <t>Employer super rate on ordinary time earnings</t>
  </si>
  <si>
    <t>Mandatory add-on to wages; used in OPEX.</t>
  </si>
  <si>
    <t>Tax</t>
  </si>
  <si>
    <t>Corporate income tax rate</t>
  </si>
  <si>
    <t>https://www.ato.gov.au/tax-rates-and-codes/company-tax-rate-changes</t>
  </si>
  <si>
    <t>Used for after-tax profit and NPV cash flows.</t>
  </si>
  <si>
    <t>CPI inflation (annual)</t>
  </si>
  <si>
    <t>Macro</t>
  </si>
  <si>
    <t>Annual CPI (used as discount &amp; escalation rate)</t>
  </si>
  <si>
    <t>https://www.abs.gov.au/statistics/economy/price-indexes-and-inflation/consumer-price-index-australia/latest-release</t>
  </si>
  <si>
    <t>Discount rate proxy + cost escalation for rent/OPEX in NPV.</t>
  </si>
  <si>
    <t>Median weekly household income</t>
  </si>
  <si>
    <t>District</t>
  </si>
  <si>
    <t>Affluence proxy at SA2 level</t>
  </si>
  <si>
    <t>Y (Sales_Index)</t>
  </si>
  <si>
    <t>SA2</t>
  </si>
  <si>
    <t>https://www.abs.gov.au/census/find-census-data/quickstats/2021/1GSYD</t>
  </si>
  <si>
    <t>Income proxy used to differentiate likely spend capacity by area.</t>
  </si>
  <si>
    <t>Footfall proxy (annual customer visits, millions)</t>
  </si>
  <si>
    <t>Demand</t>
  </si>
  <si>
    <t>Relative traffic intensity near site</t>
  </si>
  <si>
    <t>Primary source: Scentre Group 2024 Property Compendium ‘Customer visits’ (millions) per Westfield centre. For street locations (non‑Westfield), we currently proxy footfall using the nearest comparable Westfield’s annual visits to avoid mixing inconsistent units/sources. Replace with a single audited street‑footfall dataset when available.</t>
  </si>
  <si>
    <t>Centre/point</t>
  </si>
  <si>
    <t>Scentre Property Compendium (visits) / TfNSW station entries / City of Sydney pedestrian counts</t>
  </si>
  <si>
    <t>Traffic proxy to scale revenue between locations.</t>
  </si>
  <si>
    <t>SA2 boundary polygons</t>
  </si>
  <si>
    <t>Spatial</t>
  </si>
  <si>
    <t>Geographic boundaries for spatial joins</t>
  </si>
  <si>
    <t>N (enabler)</t>
  </si>
  <si>
    <t>https://www.abs.gov.au/statistics/standards/australian-statistical-geography-standard-asgs-edition-3/jul2021-jun2026/access-and-downloads/digital-boundary-files</t>
  </si>
  <si>
    <t>Needed if you map sites to districts and join ABS / transport datasets.</t>
  </si>
  <si>
    <t>Competition count (manual)</t>
  </si>
  <si>
    <t>Competition</t>
  </si>
  <si>
    <t>Count of comparable jewellery competitors near site</t>
  </si>
  <si>
    <t>N (supports)</t>
  </si>
  <si>
    <t>Manual / Google Maps</t>
  </si>
  <si>
    <t>Local</t>
  </si>
  <si>
    <t>(manual collection)</t>
  </si>
  <si>
    <t>Supports qualitative scoring and potential Sales_Index adjustments.</t>
  </si>
  <si>
    <t>Input data – Clusters (from Sydney_Jewellery_Locations_Tableau_v2.xlsx)</t>
  </si>
  <si>
    <t>Location</t>
  </si>
  <si>
    <t>Latitude</t>
  </si>
  <si>
    <t>Longitude</t>
  </si>
  <si>
    <t>Strand Arcade (412–414 George St)</t>
  </si>
  <si>
    <t>Dixon St Chinatown core</t>
  </si>
  <si>
    <t>Mandarin Centre Chatswood</t>
  </si>
  <si>
    <t>Input data – Brands / competitor stores (from Sydney_Jewellery_Locations_Tableau_v2.xlsx)</t>
  </si>
  <si>
    <t>Brand</t>
  </si>
  <si>
    <t>Rule Applied</t>
  </si>
  <si>
    <t>Cartier</t>
  </si>
  <si>
    <t>Street (Option A)</t>
  </si>
  <si>
    <t>Tiffany &amp; Co.</t>
  </si>
  <si>
    <t>Bulgari</t>
  </si>
  <si>
    <t>Van Cleef &amp; Arpels</t>
  </si>
  <si>
    <t>Rolex Boutique</t>
  </si>
  <si>
    <t>Patek Philippe</t>
  </si>
  <si>
    <t>Chanel Fine Jewellery</t>
  </si>
  <si>
    <t>Dior Joaillerie</t>
  </si>
  <si>
    <t>Michael Hill</t>
  </si>
  <si>
    <t>Angus &amp; Coote</t>
  </si>
  <si>
    <t>Prouds</t>
  </si>
  <si>
    <t>Wallace Bishop</t>
  </si>
  <si>
    <t>Complex (Option A/B)</t>
  </si>
  <si>
    <t>Swarovski</t>
  </si>
  <si>
    <t>六福珠宝 (Lukfook Jewellery)</t>
  </si>
  <si>
    <t>老凤祥 (Lao Feng Xiang)</t>
  </si>
  <si>
    <t>Mall/Precinct (Option B)</t>
  </si>
  <si>
    <t>英皇珠宝 (Emperor Jewellery)</t>
  </si>
  <si>
    <t>Mall (Option B)</t>
  </si>
  <si>
    <t>Input data – Westfield rent benchmarks (from Sydney_Jewellery_Locations_Tableau_v2.xlsx)</t>
  </si>
  <si>
    <t>Westfield Centre</t>
  </si>
  <si>
    <t>Location Type</t>
  </si>
  <si>
    <t>Indicative Rent (AUD / sqm / year)</t>
  </si>
  <si>
    <t>Typical Store Size (sqm)</t>
  </si>
  <si>
    <t>Estimated Annual Base Rent (AUD)</t>
  </si>
  <si>
    <t>Notes (Jewellery-relevant)</t>
  </si>
  <si>
    <t>CBD Prime Internal Mall</t>
  </si>
  <si>
    <t>8,000 – 12,000</t>
  </si>
  <si>
    <t>40–70</t>
  </si>
  <si>
    <t>320,000 – 650,000</t>
  </si>
  <si>
    <t>CBD Secondary Mall</t>
  </si>
  <si>
    <t>5,000 – 7,500</t>
  </si>
  <si>
    <t>200,000 – 500,000</t>
  </si>
  <si>
    <t>Urban Flagship</t>
  </si>
  <si>
    <t>3,500 – 5,000</t>
  </si>
  <si>
    <t>50–80</t>
  </si>
  <si>
    <t>175,000 – 400,000</t>
  </si>
  <si>
    <t>Regional Prime</t>
  </si>
  <si>
    <t>2,500 – 3,800</t>
  </si>
  <si>
    <t>60–100</t>
  </si>
  <si>
    <t>150,000 – 350,000</t>
  </si>
  <si>
    <t>2,800 – 4,200</t>
  </si>
  <si>
    <t>50–90</t>
  </si>
  <si>
    <t>140,000 – 380,000</t>
  </si>
  <si>
    <t>Suburban</t>
  </si>
  <si>
    <t>2,000 – 3,000</t>
  </si>
  <si>
    <t>120,000 – 300,000</t>
  </si>
  <si>
    <t>Suburban Premium</t>
  </si>
  <si>
    <t>2,500 – 3,500</t>
  </si>
  <si>
    <t>Typical Jewwellery shop size</t>
  </si>
  <si>
    <t>~ 60 sqm (40-70)</t>
  </si>
  <si>
    <t>AUD / first initial year</t>
  </si>
  <si>
    <t>UNCONFIRMED – needs freight/broker quotes</t>
  </si>
  <si>
    <t>UNCONFIRMED – refine with CTS toolstack &amp; accountant quote</t>
  </si>
  <si>
    <t xml:space="preserve">
UNCONFIRMED – validate with lease + retailer bills</t>
  </si>
  <si>
    <t>UNCONFIRMED – needs broker quote incl. stock cover</t>
  </si>
  <si>
    <t xml:space="preserve">
UNCONFIRMED – confirm lease term/accounting policy</t>
  </si>
  <si>
    <t>UNCONFIRMED – needs CTS inventory plan/turn targets</t>
  </si>
  <si>
    <t>Opening inventory coverage at cost. Jewellery retail typically carries relatively slow-moving inventory (low inventory turns), so opening inventory often needs multiple months of COGS. We set 3 months as a conservative midpoint until CTS assortment/turn targets are provided.</t>
  </si>
  <si>
    <t>UNCONFIRMED – needs CTS rollout plan/quotes</t>
  </si>
  <si>
    <t xml:space="preserve">
DEFAULT ASSUMPTION</t>
  </si>
  <si>
    <t>GST (Good and Service Tax) is treated as neutral (recoverable) and not modelled explicitly in the P&amp;L.</t>
  </si>
  <si>
    <r>
      <t xml:space="preserve">Revenue (annual) = Store_Size_sqm × Base_Sales_per_sqm × </t>
    </r>
    <r>
      <rPr>
        <b/>
        <sz val="11"/>
        <color theme="5" tint="-0.249977111117893"/>
        <rFont val="Calibri (Body)"/>
      </rPr>
      <t>Sales_Index</t>
    </r>
  </si>
  <si>
    <r>
      <rPr>
        <b/>
        <sz val="11"/>
        <color theme="9" tint="-0.249977111117893"/>
        <rFont val="Calibri (Body)"/>
      </rPr>
      <t>Income_Index</t>
    </r>
    <r>
      <rPr>
        <b/>
        <sz val="11"/>
        <color rgb="FF00B050"/>
        <rFont val="Calibri"/>
        <family val="2"/>
        <scheme val="minor"/>
      </rPr>
      <t xml:space="preserve"> = Median_HH_Income_weekly(area) / Median_HH_Income_weekly(Greater Sydney baseline)</t>
    </r>
  </si>
  <si>
    <r>
      <rPr>
        <b/>
        <sz val="11"/>
        <color theme="5" tint="-0.249977111117893"/>
        <rFont val="Calibri (Body)"/>
      </rPr>
      <t>Sales_Inde</t>
    </r>
    <r>
      <rPr>
        <b/>
        <sz val="11"/>
        <color theme="5" tint="-0.249977111117893"/>
        <rFont val="Calibri"/>
        <family val="2"/>
        <scheme val="minor"/>
      </rPr>
      <t>x</t>
    </r>
    <r>
      <rPr>
        <b/>
        <sz val="11"/>
        <color rgb="FF00B050"/>
        <rFont val="Calibri"/>
        <family val="2"/>
        <scheme val="minor"/>
      </rPr>
      <t xml:space="preserve"> = w_income × </t>
    </r>
    <r>
      <rPr>
        <b/>
        <sz val="11"/>
        <color theme="9" tint="-0.249977111117893"/>
        <rFont val="Calibri (Body)"/>
      </rPr>
      <t>Income_Index</t>
    </r>
    <r>
      <rPr>
        <b/>
        <sz val="11"/>
        <color rgb="FF00B050"/>
        <rFont val="Calibri"/>
        <family val="2"/>
        <scheme val="minor"/>
      </rPr>
      <t xml:space="preserve"> + w_footfall × </t>
    </r>
    <r>
      <rPr>
        <b/>
        <sz val="11"/>
        <color theme="8" tint="-0.249977111117893"/>
        <rFont val="Calibri (Body)"/>
      </rPr>
      <t>Footfall_Index</t>
    </r>
  </si>
  <si>
    <r>
      <rPr>
        <b/>
        <sz val="11"/>
        <color theme="8" tint="-0.249977111117893"/>
        <rFont val="Calibri (Body)"/>
      </rPr>
      <t>Footfall_Index</t>
    </r>
    <r>
      <rPr>
        <b/>
        <sz val="11"/>
        <color rgb="FF00B050"/>
        <rFont val="Calibri"/>
        <family val="2"/>
        <scheme val="minor"/>
      </rPr>
      <t xml:space="preserve"> = Footfall_Proxy(area) / Footfall_Proxy(Westfield Sydney baseline)</t>
    </r>
  </si>
  <si>
    <t>! We don’t have store-level revenue/footfall for each candidate street/mall. Instead, we keep revenue driver-based and make it district-sensitive using proxies:</t>
  </si>
  <si>
    <t>General assumption form Martin's Data</t>
  </si>
  <si>
    <t>Yellow cells means that infromation still need to be proved by reliable sources OR checked by the whole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</si>
</sst>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Red]\(\$#,##0\);&quot;-&quot;"/>
    <numFmt numFmtId="165" formatCode="\$#,##0"/>
    <numFmt numFmtId="166" formatCode="0.0%"/>
    <numFmt numFmtId="167" formatCode="[$$-C09]#,##0"/>
  </numFmts>
  <fonts count="25" x14ac:knownFonts="1">
    <font>
      <sz val="11"/>
      <color theme="1"/>
      <name val="Calibri"/>
      <family val="2"/>
      <scheme val="minor"/>
    </font>
    <font>
      <b/>
      <sz val="14"/>
      <name val="Calibri"/>
      <family val="2"/>
    </font>
    <font>
      <b/>
      <sz val="11"/>
      <name val="Calibri"/>
      <family val="2"/>
    </font>
    <font>
      <b/>
      <sz val="11"/>
      <color rgb="FFFFFFFF"/>
      <name val="Calibri"/>
      <family val="2"/>
    </font>
    <font>
      <sz val="11"/>
      <color rgb="FF0000FF"/>
      <name val="Calibri"/>
      <family val="2"/>
    </font>
    <font>
      <u/>
      <sz val="11"/>
      <color rgb="FF006100"/>
      <name val="Calibri"/>
      <family val="2"/>
    </font>
    <font>
      <sz val="12"/>
      <color theme="10"/>
      <name val="Calibri"/>
      <family val="2"/>
      <scheme val="minor"/>
    </font>
    <font>
      <b/>
      <sz val="16"/>
      <color rgb="FF1F4E79"/>
      <name val="Calibri"/>
      <family val="2"/>
    </font>
    <font>
      <b/>
      <sz val="12"/>
      <name val="Calibri"/>
      <family val="2"/>
    </font>
    <font>
      <u/>
      <sz val="11"/>
      <color rgb="FF0563C1"/>
      <name val="Calibri"/>
      <family val="2"/>
    </font>
    <font>
      <sz val="11"/>
      <name val="Calibri"/>
      <family val="2"/>
    </font>
    <font>
      <sz val="11"/>
      <color theme="1"/>
      <name val="Calibri"/>
      <family val="2"/>
      <scheme val="minor"/>
    </font>
    <font>
      <b/>
      <sz val="11"/>
      <color theme="1"/>
      <name val="Calibri"/>
      <family val="2"/>
      <scheme val="minor"/>
    </font>
    <font>
      <sz val="11"/>
      <color rgb="FFC00000"/>
      <name val="Calibri"/>
      <family val="2"/>
      <scheme val="minor"/>
    </font>
    <font>
      <b/>
      <sz val="11"/>
      <color rgb="FF00B050"/>
      <name val="Calibri"/>
      <family val="2"/>
      <scheme val="minor"/>
    </font>
    <font>
      <b/>
      <i/>
      <sz val="11"/>
      <color rgb="FFC00000"/>
      <name val="Calibri"/>
      <family val="2"/>
      <scheme val="minor"/>
    </font>
    <font>
      <b/>
      <sz val="11"/>
      <color theme="5" tint="-0.249977111117893"/>
      <name val="Calibri (Body)"/>
    </font>
    <font>
      <b/>
      <sz val="11"/>
      <color theme="5" tint="-0.249977111117893"/>
      <name val="Calibri"/>
      <family val="2"/>
      <scheme val="minor"/>
    </font>
    <font>
      <b/>
      <sz val="11"/>
      <color theme="9" tint="-0.249977111117893"/>
      <name val="Calibri (Body)"/>
    </font>
    <font>
      <b/>
      <sz val="11"/>
      <color theme="8" tint="-0.249977111117893"/>
      <name val="Calibri (Body)"/>
    </font>
    <font>
      <b/>
      <sz val="12"/>
      <color rgb="FFC00000"/>
      <name val="Calibri"/>
      <family val="2"/>
      <scheme val="minor"/>
    </font>
    <font>
      <sz val="14"/>
      <color theme="1"/>
      <name val="Calibri"/>
      <family val="2"/>
      <scheme val="minor"/>
    </font>
    <font>
      <sz val="14"/>
      <color rgb="FF0000FF"/>
      <name val="Calibri"/>
      <family val="2"/>
      <scheme val="minor"/>
    </font>
    <font>
      <b/>
      <sz val="14"/>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rgb="FF1F4E79"/>
      </patternFill>
    </fill>
    <fill>
      <patternFill patternType="solid">
        <fgColor rgb="FFFFF2CC"/>
      </patternFill>
    </fill>
    <fill>
      <patternFill patternType="solid">
        <fgColor rgb="FFD9E1F2"/>
      </patternFill>
    </fill>
    <fill>
      <patternFill patternType="solid">
        <fgColor theme="4" tint="0.59999389629810485"/>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style="thin">
        <color rgb="FFA6A6A6"/>
      </top>
      <bottom/>
      <diagonal/>
    </border>
    <border>
      <left style="medium">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diagonal/>
    </border>
  </borders>
  <cellStyleXfs count="4">
    <xf numFmtId="0" fontId="0" fillId="0" borderId="0"/>
    <xf numFmtId="0" fontId="6" fillId="0" borderId="0"/>
    <xf numFmtId="43" fontId="11" fillId="0" borderId="0"/>
    <xf numFmtId="9" fontId="11" fillId="0" borderId="0"/>
  </cellStyleXfs>
  <cellXfs count="7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164" fontId="0" fillId="0" borderId="1" xfId="0" applyNumberFormat="1" applyBorder="1" applyAlignment="1">
      <alignment horizontal="right" vertical="center"/>
    </xf>
    <xf numFmtId="1" fontId="0" fillId="0" borderId="1" xfId="0" applyNumberFormat="1" applyBorder="1" applyAlignment="1">
      <alignment horizontal="right" vertical="center"/>
    </xf>
    <xf numFmtId="2" fontId="0" fillId="0" borderId="1" xfId="0" applyNumberFormat="1" applyBorder="1" applyAlignment="1">
      <alignment horizontal="right" vertical="center"/>
    </xf>
    <xf numFmtId="0" fontId="5" fillId="0" borderId="1" xfId="0" applyFont="1" applyBorder="1" applyAlignment="1">
      <alignment horizontal="left" vertical="top" wrapText="1"/>
    </xf>
    <xf numFmtId="0" fontId="7"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7" fillId="0" borderId="0" xfId="0" applyFont="1" applyAlignment="1">
      <alignment vertical="center"/>
    </xf>
    <xf numFmtId="0" fontId="3" fillId="2" borderId="2" xfId="0" applyFont="1" applyFill="1" applyBorder="1" applyAlignment="1">
      <alignment horizontal="center" vertical="center"/>
    </xf>
    <xf numFmtId="0" fontId="0" fillId="0" borderId="2" xfId="0" applyBorder="1" applyAlignment="1">
      <alignment vertical="top" wrapText="1"/>
    </xf>
    <xf numFmtId="0" fontId="6" fillId="0" borderId="0" xfId="1"/>
    <xf numFmtId="0" fontId="6" fillId="0" borderId="2" xfId="1" applyBorder="1" applyAlignment="1">
      <alignment vertical="top" wrapText="1"/>
    </xf>
    <xf numFmtId="0" fontId="7" fillId="0" borderId="0" xfId="0" applyFont="1"/>
    <xf numFmtId="0" fontId="0" fillId="0" borderId="2" xfId="0" applyBorder="1" applyAlignment="1">
      <alignment vertical="top"/>
    </xf>
    <xf numFmtId="1" fontId="4" fillId="0" borderId="2" xfId="0" applyNumberFormat="1" applyFont="1" applyBorder="1" applyAlignment="1">
      <alignment vertical="top"/>
    </xf>
    <xf numFmtId="165" fontId="4" fillId="0" borderId="2" xfId="0" applyNumberFormat="1" applyFont="1" applyBorder="1" applyAlignment="1">
      <alignment vertical="top"/>
    </xf>
    <xf numFmtId="165" fontId="0" fillId="0" borderId="2" xfId="0" applyNumberFormat="1" applyBorder="1" applyAlignment="1">
      <alignment vertical="top"/>
    </xf>
    <xf numFmtId="2" fontId="4" fillId="3" borderId="2" xfId="0" applyNumberFormat="1" applyFont="1" applyFill="1" applyBorder="1" applyAlignment="1">
      <alignment vertical="top"/>
    </xf>
    <xf numFmtId="0" fontId="1" fillId="0" borderId="2" xfId="0" applyFont="1" applyBorder="1"/>
    <xf numFmtId="0" fontId="2" fillId="0" borderId="2" xfId="0" applyFont="1" applyBorder="1"/>
    <xf numFmtId="0" fontId="4" fillId="3" borderId="2" xfId="0" applyFont="1" applyFill="1" applyBorder="1"/>
    <xf numFmtId="0" fontId="2" fillId="0" borderId="2" xfId="0" applyFont="1" applyBorder="1" applyAlignment="1">
      <alignment horizontal="left" vertical="center" wrapText="1"/>
    </xf>
    <xf numFmtId="0" fontId="0" fillId="0" borderId="2" xfId="0" applyBorder="1" applyAlignment="1">
      <alignment horizontal="left" vertical="center" wrapText="1"/>
    </xf>
    <xf numFmtId="1" fontId="0" fillId="0" borderId="2" xfId="0" applyNumberFormat="1" applyBorder="1" applyAlignment="1">
      <alignment horizontal="left" vertical="center" wrapText="1"/>
    </xf>
    <xf numFmtId="165" fontId="0" fillId="0" borderId="2" xfId="0" applyNumberFormat="1" applyBorder="1" applyAlignment="1">
      <alignment horizontal="left" vertical="center" wrapText="1"/>
    </xf>
    <xf numFmtId="2" fontId="0" fillId="0" borderId="2" xfId="0" applyNumberFormat="1" applyBorder="1" applyAlignment="1">
      <alignment horizontal="left" vertical="center" wrapText="1"/>
    </xf>
    <xf numFmtId="0" fontId="3" fillId="2"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164" fontId="0" fillId="4" borderId="2" xfId="0" applyNumberFormat="1" applyFill="1" applyBorder="1" applyAlignment="1">
      <alignment horizontal="right" vertical="center"/>
    </xf>
    <xf numFmtId="164" fontId="0" fillId="0" borderId="2" xfId="0" applyNumberFormat="1" applyBorder="1" applyAlignment="1">
      <alignment horizontal="right" vertical="center"/>
    </xf>
    <xf numFmtId="0" fontId="8" fillId="0" borderId="0" xfId="0" applyFont="1"/>
    <xf numFmtId="0" fontId="9" fillId="0" borderId="0" xfId="0" applyFont="1"/>
    <xf numFmtId="0" fontId="3" fillId="2" borderId="3" xfId="0" applyFont="1" applyFill="1" applyBorder="1" applyAlignment="1">
      <alignment vertical="center"/>
    </xf>
    <xf numFmtId="0" fontId="10" fillId="0" borderId="3" xfId="0" applyFont="1" applyBorder="1" applyAlignment="1">
      <alignment vertical="center"/>
    </xf>
    <xf numFmtId="0" fontId="0" fillId="0" borderId="3" xfId="0" applyBorder="1" applyAlignment="1">
      <alignment vertical="center"/>
    </xf>
    <xf numFmtId="0" fontId="2" fillId="0" borderId="3" xfId="0" applyFont="1" applyBorder="1" applyAlignment="1">
      <alignment vertical="center"/>
    </xf>
    <xf numFmtId="0" fontId="6" fillId="0" borderId="0" xfId="1" applyAlignment="1">
      <alignment wrapText="1"/>
    </xf>
    <xf numFmtId="167" fontId="0" fillId="0" borderId="3" xfId="0" applyNumberFormat="1" applyBorder="1" applyAlignment="1">
      <alignment vertical="center"/>
    </xf>
    <xf numFmtId="167" fontId="0" fillId="0" borderId="0" xfId="0" applyNumberFormat="1"/>
    <xf numFmtId="43" fontId="0" fillId="0" borderId="3" xfId="2" applyFont="1" applyBorder="1" applyAlignment="1">
      <alignment vertical="center"/>
    </xf>
    <xf numFmtId="0" fontId="12" fillId="0" borderId="1" xfId="0" applyFont="1" applyBorder="1" applyAlignment="1">
      <alignment horizontal="left" vertical="top" wrapText="1"/>
    </xf>
    <xf numFmtId="0" fontId="0" fillId="0" borderId="5" xfId="0" applyBorder="1" applyAlignment="1">
      <alignment vertical="top" wrapText="1"/>
    </xf>
    <xf numFmtId="0" fontId="0" fillId="0" borderId="4" xfId="0" applyBorder="1" applyAlignment="1">
      <alignment wrapText="1"/>
    </xf>
    <xf numFmtId="0" fontId="6" fillId="0" borderId="4" xfId="1" applyBorder="1"/>
    <xf numFmtId="0" fontId="6" fillId="0" borderId="4" xfId="1" applyBorder="1" applyAlignment="1">
      <alignment wrapText="1"/>
    </xf>
    <xf numFmtId="0" fontId="13" fillId="0" borderId="4" xfId="0" applyFont="1" applyBorder="1" applyAlignment="1">
      <alignment horizontal="left" vertical="center" wrapText="1"/>
    </xf>
    <xf numFmtId="167" fontId="0" fillId="0" borderId="7" xfId="0" applyNumberFormat="1" applyBorder="1" applyAlignment="1">
      <alignment vertical="center"/>
    </xf>
    <xf numFmtId="167" fontId="2" fillId="8" borderId="6" xfId="0" applyNumberFormat="1" applyFont="1" applyFill="1" applyBorder="1"/>
    <xf numFmtId="0" fontId="14"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20" fillId="0" borderId="0" xfId="0" applyFont="1"/>
    <xf numFmtId="0" fontId="21" fillId="0" borderId="2" xfId="0" applyFont="1" applyBorder="1" applyAlignment="1">
      <alignment vertical="top" wrapText="1"/>
    </xf>
    <xf numFmtId="1" fontId="22" fillId="9" borderId="2" xfId="0" applyNumberFormat="1" applyFont="1" applyFill="1" applyBorder="1" applyAlignment="1">
      <alignment vertical="top" wrapText="1"/>
    </xf>
    <xf numFmtId="165" fontId="22" fillId="3" borderId="2" xfId="0" applyNumberFormat="1" applyFont="1" applyFill="1" applyBorder="1" applyAlignment="1">
      <alignment vertical="top" wrapText="1"/>
    </xf>
    <xf numFmtId="2" fontId="22" fillId="5" borderId="2" xfId="0" applyNumberFormat="1" applyFont="1" applyFill="1" applyBorder="1" applyAlignment="1">
      <alignment vertical="top" wrapText="1"/>
    </xf>
    <xf numFmtId="166" fontId="22" fillId="5" borderId="2" xfId="0" applyNumberFormat="1" applyFont="1" applyFill="1" applyBorder="1" applyAlignment="1">
      <alignment vertical="top" wrapText="1"/>
    </xf>
    <xf numFmtId="166" fontId="22" fillId="0" borderId="2" xfId="0" applyNumberFormat="1" applyFont="1" applyBorder="1" applyAlignment="1">
      <alignment vertical="top" wrapText="1"/>
    </xf>
    <xf numFmtId="0" fontId="23" fillId="0" borderId="2" xfId="0" applyFont="1" applyBorder="1" applyAlignment="1">
      <alignment vertical="top" wrapText="1"/>
    </xf>
    <xf numFmtId="165" fontId="22" fillId="5" borderId="2" xfId="0" applyNumberFormat="1" applyFont="1" applyFill="1" applyBorder="1" applyAlignment="1">
      <alignment vertical="top" wrapText="1"/>
    </xf>
    <xf numFmtId="1" fontId="22" fillId="3" borderId="2" xfId="0" applyNumberFormat="1" applyFont="1" applyFill="1" applyBorder="1" applyAlignment="1">
      <alignment vertical="top" wrapText="1"/>
    </xf>
    <xf numFmtId="165" fontId="22" fillId="0" borderId="2" xfId="0" applyNumberFormat="1" applyFont="1" applyBorder="1" applyAlignment="1">
      <alignment vertical="top" wrapText="1"/>
    </xf>
    <xf numFmtId="0" fontId="21" fillId="6" borderId="2" xfId="0" applyFont="1" applyFill="1" applyBorder="1" applyAlignment="1">
      <alignment vertical="top" wrapText="1"/>
    </xf>
    <xf numFmtId="0" fontId="21" fillId="7" borderId="2" xfId="0" applyFont="1" applyFill="1" applyBorder="1" applyAlignment="1">
      <alignment vertical="top" wrapText="1"/>
    </xf>
    <xf numFmtId="0" fontId="21" fillId="0" borderId="5" xfId="0" applyFont="1" applyBorder="1" applyAlignment="1">
      <alignment vertical="top" wrapText="1"/>
    </xf>
    <xf numFmtId="0" fontId="21" fillId="5" borderId="5" xfId="0" applyFont="1" applyFill="1" applyBorder="1" applyAlignment="1">
      <alignment vertical="top" wrapText="1"/>
    </xf>
    <xf numFmtId="0" fontId="23" fillId="0" borderId="4" xfId="0" applyFont="1" applyBorder="1"/>
    <xf numFmtId="0" fontId="22" fillId="5" borderId="4" xfId="0" applyFont="1" applyFill="1" applyBorder="1"/>
    <xf numFmtId="0" fontId="21" fillId="0" borderId="4" xfId="0" applyFont="1" applyBorder="1"/>
    <xf numFmtId="0" fontId="22" fillId="3" borderId="4" xfId="0" applyFont="1" applyFill="1" applyBorder="1"/>
    <xf numFmtId="10" fontId="22" fillId="5" borderId="4" xfId="3" applyNumberFormat="1" applyFont="1" applyFill="1" applyBorder="1"/>
    <xf numFmtId="10" fontId="22" fillId="3" borderId="4" xfId="3" applyNumberFormat="1" applyFont="1" applyFill="1" applyBorder="1"/>
    <xf numFmtId="0" fontId="24" fillId="0" borderId="2" xfId="0" applyFont="1" applyBorder="1" applyAlignment="1">
      <alignment horizontal="center" vertical="top"/>
    </xf>
  </cellXfs>
  <cellStyles count="4">
    <cellStyle name="Comma" xfId="2" builtinId="3"/>
    <cellStyle name="Hyperlink" xfId="1" builtinId="8"/>
    <cellStyle name="Normal" xfId="0" builtinId="0"/>
    <cellStyle name="Per cent" xfId="3" builtinId="5"/>
  </cellStyles>
  <dxfs count="5">
    <dxf>
      <alignment horizontal="general" wrapText="1"/>
    </dxf>
    <dxf>
      <alignment horizontal="general" wrapText="1"/>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worksheet" Target="worksheets/sheet8.xml" /><ns0:Relationship Id="rId13" Type="http://schemas.openxmlformats.org/officeDocument/2006/relationships/sharedStrings" Target="sharedStrings.xml" /><ns0:Relationship Id="rId3" Type="http://schemas.openxmlformats.org/officeDocument/2006/relationships/worksheet" Target="worksheets/sheet3.xml" /><ns0:Relationship Id="rId7" Type="http://schemas.openxmlformats.org/officeDocument/2006/relationships/worksheet" Target="worksheets/sheet7.xml" /><ns0:Relationship Id="rId12" Type="http://schemas.openxmlformats.org/officeDocument/2006/relationships/styles" Target="styles.xml" /><ns0:Relationship Id="rId2" Type="http://schemas.openxmlformats.org/officeDocument/2006/relationships/worksheet" Target="worksheets/sheet2.xml" /><ns0:Relationship Id="rId1" Type="http://schemas.openxmlformats.org/officeDocument/2006/relationships/worksheet" Target="worksheets/sheet1.xml" /><ns0:Relationship Id="rId6" Type="http://schemas.openxmlformats.org/officeDocument/2006/relationships/worksheet" Target="worksheets/sheet6.xml" /><ns0:Relationship Id="rId11" Type="http://schemas.openxmlformats.org/officeDocument/2006/relationships/theme" Target="theme/theme1.xml" /><ns0:Relationship Id="rId5" Type="http://schemas.openxmlformats.org/officeDocument/2006/relationships/worksheet" Target="worksheets/sheet5.xml" /><ns0:Relationship Id="rId10" Type="http://schemas.openxmlformats.org/officeDocument/2006/relationships/worksheet" Target="worksheets/sheet10.xml" /><ns0:Relationship Id="rId4" Type="http://schemas.openxmlformats.org/officeDocument/2006/relationships/worksheet" Target="worksheets/sheet4.xml" /><ns0:Relationship Id="rId9" Type="http://schemas.openxmlformats.org/officeDocument/2006/relationships/worksheet" Target="worksheets/sheet9.xml" /><ns0:Relationship Id="rId14" Type="http://schemas.openxmlformats.org/officeDocument/2006/relationships/calcChain" Target="calcChain.xml" /><ns0:Relationship Id="rId15" Type="http://schemas.openxmlformats.org/officeDocument/2006/relationships/worksheet" Target="worksheets/sheet1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304800</xdr:colOff>
      <xdr:row>0</xdr:row>
      <xdr:rowOff>254000</xdr:rowOff>
    </xdr:from>
    <xdr:to>
      <xdr:col>21</xdr:col>
      <xdr:colOff>0</xdr:colOff>
      <xdr:row>10</xdr:row>
      <xdr:rowOff>443797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7094200" y="254000"/>
          <a:ext cx="7772400" cy="5790497"/>
        </a:xfrm>
        <a:prstGeom prst="rect">
          <a:avLst/>
        </a:prstGeom>
        <a:ln>
          <a:prstDash val="solid"/>
        </a:ln>
      </xdr:spPr>
    </xdr:pic>
    <xdr:clientData/>
  </xdr:twoCellAnchor>
  <xdr:twoCellAnchor>
    <xdr:from>
      <xdr:col>5</xdr:col>
      <xdr:colOff>12700</xdr:colOff>
      <xdr:row>1</xdr:row>
      <xdr:rowOff>12700</xdr:rowOff>
    </xdr:from>
    <xdr:to>
      <xdr:col>9</xdr:col>
      <xdr:colOff>292100</xdr:colOff>
      <xdr:row>4</xdr:row>
      <xdr:rowOff>25400</xdr:rowOff>
    </xdr:to>
    <xdr:cxnSp macro="">
      <xdr:nvCxnSpPr>
        <xdr:cNvPr id="4" name="Straight Connector 3">
          <a:extLst>
            <a:ext uri="{FF2B5EF4-FFF2-40B4-BE49-F238E27FC236}">
              <a16:creationId xmlns:a16="http://schemas.microsoft.com/office/drawing/2014/main" id="{51153359-89B9-4A2F-112E-C68C6979CC91}"/>
            </a:ext>
          </a:extLst>
        </xdr:cNvPr>
        <xdr:cNvCxnSpPr/>
      </xdr:nvCxnSpPr>
      <xdr:spPr>
        <a:xfrm flipV="1">
          <a:off x="14109700" y="279400"/>
          <a:ext cx="2971800" cy="10033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25400</xdr:colOff>
      <xdr:row>5</xdr:row>
      <xdr:rowOff>12700</xdr:rowOff>
    </xdr:from>
    <xdr:to>
      <xdr:col>9</xdr:col>
      <xdr:colOff>304800</xdr:colOff>
      <xdr:row>10</xdr:row>
      <xdr:rowOff>444500</xdr:rowOff>
    </xdr:to>
    <xdr:cxnSp macro="">
      <xdr:nvCxnSpPr>
        <xdr:cNvPr id="5" name="Straight Connector 4">
          <a:extLst>
            <a:ext uri="{FF2B5EF4-FFF2-40B4-BE49-F238E27FC236}">
              <a16:creationId xmlns:a16="http://schemas.microsoft.com/office/drawing/2014/main" id="{B1C91CB9-B1A0-3548-8395-CCFA1E47B434}"/>
            </a:ext>
          </a:extLst>
        </xdr:cNvPr>
        <xdr:cNvCxnSpPr/>
      </xdr:nvCxnSpPr>
      <xdr:spPr>
        <a:xfrm>
          <a:off x="17157700" y="2082800"/>
          <a:ext cx="2971800" cy="39624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1054100</xdr:colOff>
      <xdr:row>0</xdr:row>
      <xdr:rowOff>241300</xdr:rowOff>
    </xdr:from>
    <xdr:to>
      <xdr:col>3</xdr:col>
      <xdr:colOff>50800</xdr:colOff>
      <xdr:row>4</xdr:row>
      <xdr:rowOff>50800</xdr:rowOff>
    </xdr:to>
    <xdr:cxnSp macro="">
      <xdr:nvCxnSpPr>
        <xdr:cNvPr id="6" name="Straight Arrow Connector 5">
          <a:extLst>
            <a:ext uri="{FF2B5EF4-FFF2-40B4-BE49-F238E27FC236}">
              <a16:creationId xmlns:a16="http://schemas.microsoft.com/office/drawing/2014/main" id="{8DDCD9C3-F877-36D9-598E-A5EC6DBBD25A}"/>
            </a:ext>
          </a:extLst>
        </xdr:cNvPr>
        <xdr:cNvCxnSpPr/>
      </xdr:nvCxnSpPr>
      <xdr:spPr>
        <a:xfrm flipV="1">
          <a:off x="3949700" y="241300"/>
          <a:ext cx="1435100" cy="106680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14</xdr:row>
      <xdr:rowOff>19050</xdr:rowOff>
    </xdr:from>
    <xdr:to>
      <xdr:col>11</xdr:col>
      <xdr:colOff>0</xdr:colOff>
      <xdr:row>17</xdr:row>
      <xdr:rowOff>139700</xdr:rowOff>
    </xdr:to>
    <xdr:sp macro="" textlink="">
      <xdr:nvSpPr>
        <xdr:cNvPr id="4" name="Right Brace 3">
          <a:extLst>
            <a:ext uri="{FF2B5EF4-FFF2-40B4-BE49-F238E27FC236}">
              <a16:creationId xmlns:a16="http://schemas.microsoft.com/office/drawing/2014/main" id="{00FB63B2-F99A-3A57-92A9-1D2246446FB0}"/>
            </a:ext>
          </a:extLst>
        </xdr:cNvPr>
        <xdr:cNvSpPr/>
      </xdr:nvSpPr>
      <xdr:spPr>
        <a:xfrm rot="5400000">
          <a:off x="12176125" y="2447925"/>
          <a:ext cx="692150" cy="1574800"/>
        </a:xfrm>
        <a:prstGeom prst="rightBrace">
          <a:avLst>
            <a:gd name="adj1" fmla="val 11163"/>
            <a:gd name="adj2" fmla="val 50000"/>
          </a:avLst>
        </a:prstGeom>
      </xdr:spPr>
      <xdr:style>
        <a:lnRef idx="3">
          <a:schemeClr val="accent6"/>
        </a:lnRef>
        <a:fillRef idx="0">
          <a:schemeClr val="accent6"/>
        </a:fillRef>
        <a:effectRef idx="2">
          <a:schemeClr val="accent6"/>
        </a:effectRef>
        <a:fontRef idx="minor">
          <a:schemeClr val="tx1"/>
        </a:fontRef>
      </xdr:style>
      <xdr:txBody>
        <a:bodyPr vertOverflow="clip" horzOverflow="clip" rtlCol="0" anchor="t"/>
        <a:lstStyle/>
        <a:p>
          <a:pPr algn="l"/>
          <a:endParaRPr lang="en-GB" sz="1100"/>
        </a:p>
      </xdr:txBody>
    </xdr:sp>
    <xdr:clientData/>
  </xdr:twoCellAnchor>
  <xdr:twoCellAnchor>
    <xdr:from>
      <xdr:col>9</xdr:col>
      <xdr:colOff>533400</xdr:colOff>
      <xdr:row>18</xdr:row>
      <xdr:rowOff>0</xdr:rowOff>
    </xdr:from>
    <xdr:to>
      <xdr:col>11</xdr:col>
      <xdr:colOff>558800</xdr:colOff>
      <xdr:row>20</xdr:row>
      <xdr:rowOff>165100</xdr:rowOff>
    </xdr:to>
    <xdr:sp macro="" textlink="">
      <xdr:nvSpPr>
        <xdr:cNvPr id="5" name="TextBox 4">
          <a:extLst>
            <a:ext uri="{FF2B5EF4-FFF2-40B4-BE49-F238E27FC236}">
              <a16:creationId xmlns:a16="http://schemas.microsoft.com/office/drawing/2014/main" id="{685A05E6-1CAC-81CE-47D4-822AFA1AEC99}"/>
            </a:ext>
          </a:extLst>
        </xdr:cNvPr>
        <xdr:cNvSpPr txBox="1"/>
      </xdr:nvSpPr>
      <xdr:spPr>
        <a:xfrm>
          <a:off x="11201400" y="3632200"/>
          <a:ext cx="2667000" cy="54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Net Income Data can be used in</a:t>
          </a:r>
          <a:r>
            <a:rPr lang="en-GB" sz="1200" b="1" baseline="0"/>
            <a:t> a heatmap visualization map</a:t>
          </a:r>
          <a:endParaRPr lang="en-GB" sz="12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puts" displayName="tblInputs" ref="A3:E21">
  <autoFilter ref="A3:E21" xr:uid="{00000000-0009-0000-0100-000001000000}"/>
  <tableColumns count="5">
    <tableColumn id="1" xr3:uid="{00000000-0010-0000-0000-000001000000}" name="Assumption" dataDxfId="4"/>
    <tableColumn id="2" xr3:uid="{00000000-0010-0000-0000-000002000000}" name="Value" dataDxfId="3"/>
    <tableColumn id="3" xr3:uid="{00000000-0010-0000-0000-000003000000}" name="Units" dataDxfId="2"/>
    <tableColumn id="4" xr3:uid="{00000000-0010-0000-0000-000004000000}" name="Rationale (why we use it)" dataDxfId="1"/>
    <tableColumn id="5" xr3:uid="{00000000-0010-0000-0000-000005000000}" name="Source_URL(s)"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Locations" displayName="tblLocations" ref="A3:J14">
  <autoFilter ref="A3:J14" xr:uid="{00000000-0009-0000-0100-000002000000}"/>
  <tableColumns count="10">
    <tableColumn id="1" xr3:uid="{00000000-0010-0000-0100-000001000000}" name="Location_ID"/>
    <tableColumn id="2" xr3:uid="{00000000-0010-0000-0100-000002000000}" name="Area"/>
    <tableColumn id="3" xr3:uid="{00000000-0010-0000-0100-000003000000}" name="Anchor Location"/>
    <tableColumn id="4" xr3:uid="{00000000-0010-0000-0100-000004000000}" name="Location_Type"/>
    <tableColumn id="5" xr3:uid="{00000000-0010-0000-0100-000005000000}" name="Store_Size_sqm"/>
    <tableColumn id="6" xr3:uid="{00000000-0010-0000-0100-000006000000}" name="Rent_Total_AUD_pa"/>
    <tableColumn id="7" xr3:uid="{00000000-0010-0000-0100-000007000000}" name="Rent_per_sqm_pa"/>
    <tableColumn id="8" xr3:uid="{00000000-0010-0000-0100-000008000000}" name="Sales_Index"/>
    <tableColumn id="9" xr3:uid="{00000000-0010-0000-0100-000009000000}" name="Notes"/>
    <tableColumn id="10" xr3:uid="{00000000-0010-0000-0100-00000A000000}" name="Forecast_Net_Income_AUD_p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LocOut" displayName="tblLocOut" ref="A3:K14">
  <autoFilter ref="A3:K14" xr:uid="{00000000-0009-0000-0100-000003000000}"/>
  <tableColumns count="11">
    <tableColumn id="1" xr3:uid="{00000000-0010-0000-0200-000001000000}" name="Location_ID"/>
    <tableColumn id="2" xr3:uid="{00000000-0010-0000-0200-000002000000}" name="Area"/>
    <tableColumn id="3" xr3:uid="{00000000-0010-0000-0200-000003000000}" name="Type"/>
    <tableColumn id="4" xr3:uid="{00000000-0010-0000-0200-000004000000}" name="Store_Size_sqm"/>
    <tableColumn id="5" xr3:uid="{00000000-0010-0000-0200-000005000000}" name="Rent_Total_pa"/>
    <tableColumn id="6" xr3:uid="{00000000-0010-0000-0200-000006000000}" name="Sales_Index"/>
    <tableColumn id="7" xr3:uid="{00000000-0010-0000-0200-000007000000}" name="Revenue_pa"/>
    <tableColumn id="8" xr3:uid="{00000000-0010-0000-0200-000008000000}" name="Gross_Profit_pa"/>
    <tableColumn id="9" xr3:uid="{00000000-0010-0000-0200-000009000000}" name="Total_OPEX_pa"/>
    <tableColumn id="10" xr3:uid="{00000000-0010-0000-0200-00000A000000}" name="EBIT_pa"/>
    <tableColumn id="11" xr3:uid="{00000000-0010-0000-0200-00000B000000}" name="Net_Income_pa"/>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Map" displayName="tblMap" ref="A3:C11">
  <autoFilter ref="A3:C11" xr:uid="{00000000-0009-0000-0100-000004000000}"/>
  <tableColumns count="3">
    <tableColumn id="1" xr3:uid="{00000000-0010-0000-0300-000001000000}" name="Anchor Location"/>
    <tableColumn id="2" xr3:uid="{00000000-0010-0000-0300-000002000000}" name="Mapped_Location_ID"/>
    <tableColumn id="3" xr3:uid="{00000000-0010-0000-0300-000003000000}" name="Mapping not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Metrics" displayName="tblMetrics" ref="A3:H36">
  <autoFilter ref="A3:H36" xr:uid="{00000000-0009-0000-0100-000005000000}"/>
  <tableColumns count="8">
    <tableColumn id="1" xr3:uid="{00000000-0010-0000-0400-000001000000}" name="Metric"/>
    <tableColumn id="2" xr3:uid="{00000000-0010-0000-0400-000002000000}" name="Category"/>
    <tableColumn id="3" xr3:uid="{00000000-0010-0000-0400-000003000000}" name="Short definition"/>
    <tableColumn id="4" xr3:uid="{00000000-0010-0000-0400-000004000000}" name="Used in current P&amp;L?"/>
    <tableColumn id="5" xr3:uid="{00000000-0010-0000-0400-000005000000}" name="Data availability"/>
    <tableColumn id="6" xr3:uid="{00000000-0010-0000-0400-000006000000}" name="Geography level"/>
    <tableColumn id="7" xr3:uid="{00000000-0010-0000-0400-000007000000}" name="Source URL(s)"/>
    <tableColumn id="8" xr3:uid="{00000000-0010-0000-0400-000008000000}" name="Why it matters / how to us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Clusters" displayName="tblClusters" ref="A3:D15">
  <autoFilter ref="A3:D15" xr:uid="{00000000-0009-0000-0100-000006000000}"/>
  <tableColumns count="4">
    <tableColumn id="1" xr3:uid="{00000000-0010-0000-0500-000001000000}" name="Area"/>
    <tableColumn id="2" xr3:uid="{00000000-0010-0000-0500-000002000000}" name="Location"/>
    <tableColumn id="3" xr3:uid="{00000000-0010-0000-0500-000003000000}" name="Latitude"/>
    <tableColumn id="4" xr3:uid="{00000000-0010-0000-0500-000004000000}" name="Longitud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BrandsRaw" displayName="tblBrandsRaw" ref="A3:F34">
  <autoFilter ref="A3:F34" xr:uid="{00000000-0009-0000-0100-000007000000}"/>
  <tableColumns count="6">
    <tableColumn id="1" xr3:uid="{00000000-0010-0000-0600-000001000000}" name="Brand"/>
    <tableColumn id="2" xr3:uid="{00000000-0010-0000-0600-000002000000}" name="Area"/>
    <tableColumn id="3" xr3:uid="{00000000-0010-0000-0600-000003000000}" name="Anchor Location"/>
    <tableColumn id="4" xr3:uid="{00000000-0010-0000-0600-000004000000}" name="Rule Applied"/>
    <tableColumn id="5" xr3:uid="{00000000-0010-0000-0600-000005000000}" name="Latitude"/>
    <tableColumn id="6" xr3:uid="{00000000-0010-0000-0600-000006000000}" name="Longitude"/>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seek.com.au/career-advice/role/sales-representative/salary/in-sydney" TargetMode="External"/><Relationship Id="rId13" Type="http://schemas.openxmlformats.org/officeDocument/2006/relationships/hyperlink" Target="https://noonan.com.au/security-deposits-for-commercial-leases/" TargetMode="External"/><Relationship Id="rId18" Type="http://schemas.openxmlformats.org/officeDocument/2006/relationships/hyperlink" Target="https://www.shopify.com/au/retail/cost-of-opening-a-retail-storeUNCONFIRMED%20&#8211;%20needs%20CTS%20rollout%20plan/quotes" TargetMode="External"/><Relationship Id="rId3" Type="http://schemas.openxmlformats.org/officeDocument/2006/relationships/hyperlink" Target="https://www.rba.gov.au/statistics/tables/" TargetMode="External"/><Relationship Id="rId7" Type="http://schemas.openxmlformats.org/officeDocument/2006/relationships/hyperlink" Target="https://www.seek.com.au/career-advice/role/store-manager/salary/in-sydney" TargetMode="External"/><Relationship Id="rId12" Type="http://schemas.openxmlformats.org/officeDocument/2006/relationships/hyperlink" Target="https://www.australianretirementtrust.com.au/media-releases/art-westfield-sydney" TargetMode="External"/><Relationship Id="rId17" Type="http://schemas.openxmlformats.org/officeDocument/2006/relationships/hyperlink" Target="https://www.forbes.com/sites/forbestechcouncil/2021/02/02/inventory-turnover-the-metric-you-should-be-tracking/UNCONFIRMED%20&#8211;%20needs%20CTS%20inventory%20plan/turn%20targets" TargetMode="External"/><Relationship Id="rId2" Type="http://schemas.openxmlformats.org/officeDocument/2006/relationships/hyperlink" Target="https://announcements.asx.com.au/asxpdf/20240830/pdf/067c0yy1h0157n.pdf" TargetMode="External"/><Relationship Id="rId16" Type="http://schemas.openxmlformats.org/officeDocument/2006/relationships/hyperlink" Target="https://www.nextbusinessenergy.com.au/blog/how-much-electricity-does-a-small-business-use/UNCONFIRMED%20&#8211;%20validate%20with%20lease%20+%20retailer%20bills" TargetMode="External"/><Relationship Id="rId20" Type="http://schemas.openxmlformats.org/officeDocument/2006/relationships/table" Target="../tables/table1.xml"/><Relationship Id="rId1" Type="http://schemas.openxmlformats.org/officeDocument/2006/relationships/hyperlink" Target="https://assets.ctfassets.net/0vreywxqlgab/2jCDgyNRHOqTByrcni3uKv/47f440c291228ef086d42355f46d237f/2024_Property_Compendium.xlsx" TargetMode="External"/><Relationship Id="rId6" Type="http://schemas.openxmlformats.org/officeDocument/2006/relationships/hyperlink" Target="https://www.totalfitouts.com.au/blog/2025-pricing-per-square-meter-m%C2%B2-for-fitouts-in-australia/" TargetMode="External"/><Relationship Id="rId11" Type="http://schemas.openxmlformats.org/officeDocument/2006/relationships/hyperlink" Target="https://abs.gov.au/census/find-census-data/quickstats/2021/1GSYD" TargetMode="External"/><Relationship Id="rId5" Type="http://schemas.openxmlformats.org/officeDocument/2006/relationships/hyperlink" Target="https://www.etropo.com/blog/marketing-budgeting/average-marketing-budget-by-industry" TargetMode="External"/><Relationship Id="rId15" Type="http://schemas.openxmlformats.org/officeDocument/2006/relationships/hyperlink" Target="https://www.abs.gov.au/media-centre/media-releases/cpi-rose-38-year-december-2025" TargetMode="External"/><Relationship Id="rId10" Type="http://schemas.openxmlformats.org/officeDocument/2006/relationships/hyperlink" Target="https://www.ato.gov.au/tax-rates-and-codes/company-tax-rate" TargetMode="External"/><Relationship Id="rId19" Type="http://schemas.openxmlformats.org/officeDocument/2006/relationships/drawing" Target="../drawings/drawing1.xml"/><Relationship Id="rId4" Type="http://schemas.openxmlformats.org/officeDocument/2006/relationships/hyperlink" Target="https://www.etropo.com/blog/marketing-budgeting/average-marketing-budget-by-industry" TargetMode="External"/><Relationship Id="rId9" Type="http://schemas.openxmlformats.org/officeDocument/2006/relationships/hyperlink" Target="https://www.ato.gov.au/tax-rates-and-codes/key-superannuation-rates-and-thresholds/super-guarantee" TargetMode="External"/><Relationship Id="rId14" Type="http://schemas.openxmlformats.org/officeDocument/2006/relationships/hyperlink" Target="https://www.abs.gov.au/media-centre/media-releases/cpi-rose-38-year-december-202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entregroup.com/our-customers/westfield-destinations/westfield-parramatta" TargetMode="External"/><Relationship Id="rId13" Type="http://schemas.openxmlformats.org/officeDocument/2006/relationships/hyperlink" Target="https://abs.gov.au/census/find-census-data/quickstats/2021/SAL10598" TargetMode="External"/><Relationship Id="rId18" Type="http://schemas.openxmlformats.org/officeDocument/2006/relationships/hyperlink" Target="https://www.australianretirementtrust.com.au/media-releases/art-westfield-sydney" TargetMode="External"/><Relationship Id="rId3" Type="http://schemas.openxmlformats.org/officeDocument/2006/relationships/hyperlink" Target="https://abs.gov.au/census/find-census-data/quickstats/2021/SAL13730" TargetMode="External"/><Relationship Id="rId21" Type="http://schemas.openxmlformats.org/officeDocument/2006/relationships/hyperlink" Target="https://abs.gov.au/census/find-census-data/quickstats/2021/121011684" TargetMode="External"/><Relationship Id="rId7" Type="http://schemas.openxmlformats.org/officeDocument/2006/relationships/hyperlink" Target="https://abs.gov.au/census/find-census-data/quickstats/2021/SAL13167" TargetMode="External"/><Relationship Id="rId12" Type="http://schemas.openxmlformats.org/officeDocument/2006/relationships/hyperlink" Target="https://www.scentregroup.com/our-customers/westfield-destinations/westfield-miranda" TargetMode="External"/><Relationship Id="rId17" Type="http://schemas.openxmlformats.org/officeDocument/2006/relationships/hyperlink" Target="https://abs.gov.au/census/find-census-data/quickstats/2021/117031646" TargetMode="External"/><Relationship Id="rId2" Type="http://schemas.openxmlformats.org/officeDocument/2006/relationships/hyperlink" Target="https://www.australianretirementtrust.com.au/media-releases/art-westfield-sydney" TargetMode="External"/><Relationship Id="rId16" Type="http://schemas.openxmlformats.org/officeDocument/2006/relationships/hyperlink" Target="https://www.australianretirementtrust.com.au/media-releases/art-westfield-sydney" TargetMode="External"/><Relationship Id="rId20" Type="http://schemas.openxmlformats.org/officeDocument/2006/relationships/hyperlink" Target="https://www.australianretirementtrust.com.au/media-releases/art-westfield-sydney" TargetMode="External"/><Relationship Id="rId1" Type="http://schemas.openxmlformats.org/officeDocument/2006/relationships/hyperlink" Target="https://abs.gov.au/census/find-census-data/quickstats/2021/SAL13730" TargetMode="External"/><Relationship Id="rId6" Type="http://schemas.openxmlformats.org/officeDocument/2006/relationships/hyperlink" Target="https://www.scentregroup.com/our-customers/westfield-destinations/westfield-bondi-junction" TargetMode="External"/><Relationship Id="rId11" Type="http://schemas.openxmlformats.org/officeDocument/2006/relationships/hyperlink" Target="https://abs.gov.au/census/find-census-data/quickstats/2021/SAL12656" TargetMode="External"/><Relationship Id="rId5" Type="http://schemas.openxmlformats.org/officeDocument/2006/relationships/hyperlink" Target="https://abs.gov.au/census/find-census-data/quickstats/2021/118011341" TargetMode="External"/><Relationship Id="rId15" Type="http://schemas.openxmlformats.org/officeDocument/2006/relationships/hyperlink" Target="https://abs.gov.au/census/find-census-data/quickstats/2021/117031646" TargetMode="External"/><Relationship Id="rId23" Type="http://schemas.openxmlformats.org/officeDocument/2006/relationships/table" Target="../tables/table2.xml"/><Relationship Id="rId10" Type="http://schemas.openxmlformats.org/officeDocument/2006/relationships/hyperlink" Target="https://www.scentregroup.com/our-customers/westfield-destinations/westfield-chatswood" TargetMode="External"/><Relationship Id="rId19" Type="http://schemas.openxmlformats.org/officeDocument/2006/relationships/hyperlink" Target="https://abs.gov.au/census/find-census-data/quickstats/2021/SAL11884" TargetMode="External"/><Relationship Id="rId4" Type="http://schemas.openxmlformats.org/officeDocument/2006/relationships/hyperlink" Target="https://www.australianretirementtrust.com.au/media-releases/art-westfield-sydney" TargetMode="External"/><Relationship Id="rId9" Type="http://schemas.openxmlformats.org/officeDocument/2006/relationships/hyperlink" Target="https://abs.gov.au/census/find-census-data/quickstats/2021/121011684" TargetMode="External"/><Relationship Id="rId14" Type="http://schemas.openxmlformats.org/officeDocument/2006/relationships/hyperlink" Target="https://www.scentregroup.com/our-customers/westfield-destinations/westfield-warringah-mall" TargetMode="External"/><Relationship Id="rId22" Type="http://schemas.openxmlformats.org/officeDocument/2006/relationships/hyperlink" Target="https://www.scentregroup.com/our-customers/westfield-destinations/westfield-chatswood"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zoomScale="150" zoomScaleNormal="150" workbookViewId="0">
      <selection activeCell="A6" sqref="A6"/>
    </sheetView>
  </sheetViews>
  <sheetFormatPr baseColWidth="10" defaultColWidth="8.83203125" defaultRowHeight="15" x14ac:dyDescent="0.2"/>
  <cols>
    <col min="1" max="1" width="120" customWidth="1"/>
  </cols>
  <sheetData>
    <row r="1" spans="1:1" ht="28" customHeight="1" x14ac:dyDescent="0.2">
      <c r="A1" s="10" t="s">
        <v>0</v>
      </c>
    </row>
    <row r="2" spans="1:1" ht="18" customHeight="1" x14ac:dyDescent="0.2">
      <c r="A2" s="11"/>
    </row>
    <row r="3" spans="1:1" ht="18" customHeight="1" x14ac:dyDescent="0.2">
      <c r="A3" s="12" t="s">
        <v>1</v>
      </c>
    </row>
    <row r="4" spans="1:1" ht="18" customHeight="1" x14ac:dyDescent="0.2">
      <c r="A4" s="11" t="s">
        <v>2</v>
      </c>
    </row>
    <row r="5" spans="1:1" ht="18" customHeight="1" x14ac:dyDescent="0.2">
      <c r="A5" s="11" t="s">
        <v>3</v>
      </c>
    </row>
    <row r="6" spans="1:1" ht="18" customHeight="1" x14ac:dyDescent="0.2">
      <c r="A6" s="11" t="s">
        <v>4</v>
      </c>
    </row>
    <row r="7" spans="1:1" ht="18" customHeight="1" x14ac:dyDescent="0.2">
      <c r="A7" s="11" t="s">
        <v>5</v>
      </c>
    </row>
    <row r="8" spans="1:1" ht="18" customHeight="1" x14ac:dyDescent="0.2">
      <c r="A8" s="11" t="s">
        <v>6</v>
      </c>
    </row>
    <row r="9" spans="1:1" ht="18" customHeight="1" x14ac:dyDescent="0.2">
      <c r="A9" s="11" t="s">
        <v>7</v>
      </c>
    </row>
    <row r="10" spans="1:1" ht="18" customHeight="1" x14ac:dyDescent="0.2">
      <c r="A10" s="12"/>
    </row>
    <row r="11" spans="1:1" ht="18" customHeight="1" x14ac:dyDescent="0.2">
      <c r="A11" s="12" t="s">
        <v>8</v>
      </c>
    </row>
    <row r="12" spans="1:1" ht="18" customHeight="1" x14ac:dyDescent="0.2">
      <c r="A12" s="56" t="s">
        <v>417</v>
      </c>
    </row>
    <row r="13" spans="1:1" ht="18" customHeight="1" x14ac:dyDescent="0.2">
      <c r="A13" s="54" t="s">
        <v>413</v>
      </c>
    </row>
    <row r="14" spans="1:1" ht="18" customHeight="1" x14ac:dyDescent="0.2">
      <c r="A14" s="54" t="s">
        <v>415</v>
      </c>
    </row>
    <row r="15" spans="1:1" ht="18" customHeight="1" x14ac:dyDescent="0.2">
      <c r="A15" s="54" t="s">
        <v>414</v>
      </c>
    </row>
    <row r="16" spans="1:1" ht="18" customHeight="1" x14ac:dyDescent="0.2">
      <c r="A16" s="54" t="s">
        <v>416</v>
      </c>
    </row>
    <row r="17" spans="1:1" ht="34" customHeight="1" x14ac:dyDescent="0.2">
      <c r="A17" s="11" t="s">
        <v>9</v>
      </c>
    </row>
    <row r="18" spans="1:1" ht="18" customHeight="1" x14ac:dyDescent="0.2">
      <c r="A18" s="11"/>
    </row>
    <row r="19" spans="1:1" ht="18" customHeight="1" x14ac:dyDescent="0.2">
      <c r="A19" s="12" t="s">
        <v>10</v>
      </c>
    </row>
    <row r="20" spans="1:1" ht="37" customHeight="1" x14ac:dyDescent="0.2">
      <c r="A20" s="11" t="s">
        <v>11</v>
      </c>
    </row>
    <row r="21" spans="1:1" ht="18" customHeight="1" x14ac:dyDescent="0.2">
      <c r="A21" s="11" t="s">
        <v>12</v>
      </c>
    </row>
    <row r="22" spans="1:1" ht="18" customHeight="1" x14ac:dyDescent="0.2">
      <c r="A22" s="12"/>
    </row>
    <row r="23" spans="1:1" ht="18" customHeight="1" x14ac:dyDescent="0.2">
      <c r="A23" s="55" t="s">
        <v>13</v>
      </c>
    </row>
    <row r="24" spans="1:1" ht="18" customHeight="1" x14ac:dyDescent="0.2">
      <c r="A24" s="2" t="s">
        <v>14</v>
      </c>
    </row>
    <row r="25" spans="1:1" ht="18" customHeight="1" x14ac:dyDescent="0.2">
      <c r="A25" t="s">
        <v>15</v>
      </c>
    </row>
    <row r="26" spans="1:1" ht="18" customHeight="1" x14ac:dyDescent="0.2">
      <c r="A26" t="s">
        <v>412</v>
      </c>
    </row>
    <row r="27" spans="1:1" ht="18" customHeight="1" x14ac:dyDescent="0.2"/>
    <row r="28" spans="1:1" ht="18" customHeight="1" x14ac:dyDescent="0.2">
      <c r="A28" t="s">
        <v>16</v>
      </c>
    </row>
    <row r="29" spans="1:1" ht="18" customHeight="1" x14ac:dyDescent="0.2"/>
    <row r="30" spans="1:1" ht="18" customHeight="1" x14ac:dyDescent="0.2"/>
    <row r="31" spans="1:1" ht="18" customHeight="1" x14ac:dyDescent="0.2"/>
    <row r="32" spans="1:1" ht="18" customHeight="1" x14ac:dyDescent="0.2"/>
    <row r="33" ht="18"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workbookViewId="0">
      <selection activeCell="A5" sqref="A5"/>
    </sheetView>
  </sheetViews>
  <sheetFormatPr baseColWidth="10" defaultColWidth="8.83203125" defaultRowHeight="15" x14ac:dyDescent="0.2"/>
  <cols>
    <col min="1" max="1" width="38" customWidth="1"/>
    <col min="2" max="2" width="14" customWidth="1"/>
    <col min="3" max="3" width="18" customWidth="1"/>
    <col min="4" max="4" width="91.83203125" customWidth="1"/>
    <col min="5" max="5" width="63" customWidth="1"/>
  </cols>
  <sheetData>
    <row r="1" spans="1:5" ht="21" customHeight="1" x14ac:dyDescent="0.2">
      <c r="A1" s="13" t="s">
        <v>17</v>
      </c>
      <c r="D1" s="57" t="s">
        <v>419</v>
      </c>
    </row>
    <row r="3" spans="1:5" x14ac:dyDescent="0.2">
      <c r="A3" s="14" t="s">
        <v>18</v>
      </c>
      <c r="B3" s="14" t="s">
        <v>19</v>
      </c>
      <c r="C3" s="14" t="s">
        <v>20</v>
      </c>
      <c r="D3" s="14" t="s">
        <v>21</v>
      </c>
      <c r="E3" s="14" t="s">
        <v>22</v>
      </c>
    </row>
    <row r="4" spans="1:5" ht="48" customHeight="1" x14ac:dyDescent="0.2">
      <c r="A4" s="58" t="s">
        <v>23</v>
      </c>
      <c r="B4" s="59">
        <v>60</v>
      </c>
      <c r="C4" s="58" t="s">
        <v>24</v>
      </c>
      <c r="D4" s="15" t="s">
        <v>25</v>
      </c>
      <c r="E4" s="15" t="s">
        <v>418</v>
      </c>
    </row>
    <row r="5" spans="1:5" ht="64" customHeight="1" x14ac:dyDescent="0.2">
      <c r="A5" s="58" t="s">
        <v>27</v>
      </c>
      <c r="B5" s="60">
        <v>27500</v>
      </c>
      <c r="C5" s="58" t="s">
        <v>28</v>
      </c>
      <c r="D5" s="15" t="s">
        <v>29</v>
      </c>
      <c r="E5" s="42" t="s">
        <v>30</v>
      </c>
    </row>
    <row r="6" spans="1:5" ht="48" customHeight="1" x14ac:dyDescent="0.2">
      <c r="A6" s="58" t="s">
        <v>31</v>
      </c>
      <c r="B6" s="61">
        <v>1</v>
      </c>
      <c r="C6" s="58" t="s">
        <v>32</v>
      </c>
      <c r="D6" s="15" t="s">
        <v>33</v>
      </c>
      <c r="E6" s="15" t="s">
        <v>34</v>
      </c>
    </row>
    <row r="7" spans="1:5" ht="64" customHeight="1" x14ac:dyDescent="0.2">
      <c r="A7" s="58" t="s">
        <v>35</v>
      </c>
      <c r="B7" s="62">
        <v>0.6</v>
      </c>
      <c r="C7" s="58" t="s">
        <v>36</v>
      </c>
      <c r="D7" s="15" t="s">
        <v>37</v>
      </c>
      <c r="E7" s="42" t="s">
        <v>38</v>
      </c>
    </row>
    <row r="8" spans="1:5" ht="34" customHeight="1" x14ac:dyDescent="0.2">
      <c r="A8" s="58" t="s">
        <v>39</v>
      </c>
      <c r="B8" s="63">
        <v>8.9999999999999993E-3</v>
      </c>
      <c r="C8" s="58" t="s">
        <v>36</v>
      </c>
      <c r="D8" s="15" t="s">
        <v>40</v>
      </c>
      <c r="E8" s="42" t="s">
        <v>41</v>
      </c>
    </row>
    <row r="9" spans="1:5" ht="64" customHeight="1" x14ac:dyDescent="0.2">
      <c r="A9" s="58" t="s">
        <v>42</v>
      </c>
      <c r="B9" s="60">
        <v>20000</v>
      </c>
      <c r="C9" s="58" t="s">
        <v>402</v>
      </c>
      <c r="D9" s="15" t="s">
        <v>44</v>
      </c>
      <c r="E9" s="42" t="s">
        <v>45</v>
      </c>
    </row>
    <row r="10" spans="1:5" ht="68" customHeight="1" x14ac:dyDescent="0.2">
      <c r="A10" s="58" t="s">
        <v>46</v>
      </c>
      <c r="B10" s="62">
        <v>0.05</v>
      </c>
      <c r="C10" s="58" t="s">
        <v>36</v>
      </c>
      <c r="D10" s="15" t="s">
        <v>47</v>
      </c>
      <c r="E10" s="42" t="s">
        <v>48</v>
      </c>
    </row>
    <row r="11" spans="1:5" ht="68" customHeight="1" x14ac:dyDescent="0.2">
      <c r="A11" s="58" t="s">
        <v>49</v>
      </c>
      <c r="B11" s="60">
        <v>40000</v>
      </c>
      <c r="C11" s="58" t="s">
        <v>43</v>
      </c>
      <c r="D11" s="15" t="s">
        <v>50</v>
      </c>
      <c r="E11" s="15" t="s">
        <v>403</v>
      </c>
    </row>
    <row r="12" spans="1:5" ht="32" customHeight="1" x14ac:dyDescent="0.2">
      <c r="A12" s="58" t="s">
        <v>51</v>
      </c>
      <c r="B12" s="60">
        <v>20000</v>
      </c>
      <c r="C12" s="58" t="s">
        <v>43</v>
      </c>
      <c r="D12" s="15" t="s">
        <v>52</v>
      </c>
      <c r="E12" s="15" t="s">
        <v>404</v>
      </c>
    </row>
    <row r="13" spans="1:5" ht="48" customHeight="1" x14ac:dyDescent="0.2">
      <c r="A13" s="58" t="s">
        <v>53</v>
      </c>
      <c r="B13" s="60">
        <v>150</v>
      </c>
      <c r="C13" s="58" t="s">
        <v>28</v>
      </c>
      <c r="D13" s="15" t="s">
        <v>54</v>
      </c>
      <c r="E13" s="42" t="s">
        <v>405</v>
      </c>
    </row>
    <row r="14" spans="1:5" ht="48" customHeight="1" x14ac:dyDescent="0.2">
      <c r="A14" s="58" t="s">
        <v>55</v>
      </c>
      <c r="B14" s="60">
        <v>6000</v>
      </c>
      <c r="C14" s="58" t="s">
        <v>43</v>
      </c>
      <c r="D14" s="15" t="s">
        <v>56</v>
      </c>
      <c r="E14" s="15" t="s">
        <v>406</v>
      </c>
    </row>
    <row r="15" spans="1:5" ht="48" customHeight="1" x14ac:dyDescent="0.2">
      <c r="A15" s="64" t="s">
        <v>57</v>
      </c>
      <c r="B15" s="65">
        <v>2500</v>
      </c>
      <c r="C15" s="58" t="s">
        <v>58</v>
      </c>
      <c r="D15" s="15" t="s">
        <v>59</v>
      </c>
      <c r="E15" s="42" t="s">
        <v>60</v>
      </c>
    </row>
    <row r="16" spans="1:5" ht="48" customHeight="1" x14ac:dyDescent="0.2">
      <c r="A16" s="58" t="s">
        <v>61</v>
      </c>
      <c r="B16" s="66">
        <v>5</v>
      </c>
      <c r="C16" s="58" t="s">
        <v>62</v>
      </c>
      <c r="D16" s="15" t="s">
        <v>63</v>
      </c>
      <c r="E16" s="15" t="s">
        <v>407</v>
      </c>
    </row>
    <row r="17" spans="1:5" ht="34" customHeight="1" x14ac:dyDescent="0.2">
      <c r="A17" s="58" t="s">
        <v>64</v>
      </c>
      <c r="B17" s="65">
        <v>80000</v>
      </c>
      <c r="C17" s="58" t="s">
        <v>43</v>
      </c>
      <c r="D17" s="15" t="s">
        <v>65</v>
      </c>
      <c r="E17" s="42" t="s">
        <v>66</v>
      </c>
    </row>
    <row r="18" spans="1:5" ht="34" customHeight="1" x14ac:dyDescent="0.2">
      <c r="A18" s="58" t="s">
        <v>67</v>
      </c>
      <c r="B18" s="67">
        <v>75000</v>
      </c>
      <c r="C18" s="58" t="s">
        <v>43</v>
      </c>
      <c r="D18" s="15" t="s">
        <v>68</v>
      </c>
      <c r="E18" s="42" t="s">
        <v>69</v>
      </c>
    </row>
    <row r="19" spans="1:5" ht="32" customHeight="1" x14ac:dyDescent="0.2">
      <c r="A19" s="58" t="s">
        <v>70</v>
      </c>
      <c r="B19" s="66">
        <v>3</v>
      </c>
      <c r="C19" s="58" t="s">
        <v>71</v>
      </c>
      <c r="D19" s="15" t="s">
        <v>72</v>
      </c>
      <c r="E19" s="15" t="s">
        <v>26</v>
      </c>
    </row>
    <row r="20" spans="1:5" ht="34" customHeight="1" x14ac:dyDescent="0.2">
      <c r="A20" s="58" t="s">
        <v>73</v>
      </c>
      <c r="B20" s="63">
        <v>0.12</v>
      </c>
      <c r="C20" s="58" t="s">
        <v>74</v>
      </c>
      <c r="D20" s="15" t="s">
        <v>75</v>
      </c>
      <c r="E20" s="42" t="s">
        <v>76</v>
      </c>
    </row>
    <row r="21" spans="1:5" ht="17" customHeight="1" x14ac:dyDescent="0.2">
      <c r="A21" s="58" t="s">
        <v>77</v>
      </c>
      <c r="B21" s="63">
        <v>0.25</v>
      </c>
      <c r="C21" s="58" t="s">
        <v>78</v>
      </c>
      <c r="D21" s="15" t="s">
        <v>79</v>
      </c>
      <c r="E21" s="42" t="s">
        <v>80</v>
      </c>
    </row>
    <row r="22" spans="1:5" ht="48" customHeight="1" x14ac:dyDescent="0.2">
      <c r="A22" s="58" t="s">
        <v>81</v>
      </c>
      <c r="B22" s="68">
        <v>0.5</v>
      </c>
      <c r="C22" s="58" t="s">
        <v>82</v>
      </c>
      <c r="D22" s="15" t="s">
        <v>83</v>
      </c>
      <c r="E22" s="15" t="s">
        <v>84</v>
      </c>
    </row>
    <row r="23" spans="1:5" ht="48" customHeight="1" x14ac:dyDescent="0.2">
      <c r="A23" s="58" t="s">
        <v>85</v>
      </c>
      <c r="B23" s="68">
        <v>0.5</v>
      </c>
      <c r="C23" s="58" t="s">
        <v>82</v>
      </c>
      <c r="D23" s="15" t="s">
        <v>86</v>
      </c>
      <c r="E23" s="15" t="s">
        <v>84</v>
      </c>
    </row>
    <row r="24" spans="1:5" ht="32" customHeight="1" x14ac:dyDescent="0.2">
      <c r="A24" s="58" t="s">
        <v>87</v>
      </c>
      <c r="B24" s="69">
        <v>2077</v>
      </c>
      <c r="C24" s="58" t="s">
        <v>88</v>
      </c>
      <c r="D24" s="15" t="s">
        <v>89</v>
      </c>
      <c r="E24" s="17" t="s">
        <v>90</v>
      </c>
    </row>
    <row r="25" spans="1:5" ht="48" customHeight="1" x14ac:dyDescent="0.2">
      <c r="A25" s="58" t="s">
        <v>91</v>
      </c>
      <c r="B25" s="69">
        <v>33.459555000000002</v>
      </c>
      <c r="C25" s="58" t="s">
        <v>92</v>
      </c>
      <c r="D25" s="15" t="s">
        <v>93</v>
      </c>
      <c r="E25" s="17" t="s">
        <v>94</v>
      </c>
    </row>
    <row r="26" spans="1:5" ht="64" customHeight="1" x14ac:dyDescent="0.2">
      <c r="A26" s="70" t="s">
        <v>95</v>
      </c>
      <c r="B26" s="71">
        <v>1</v>
      </c>
      <c r="C26" s="70" t="s">
        <v>32</v>
      </c>
      <c r="D26" s="47" t="s">
        <v>96</v>
      </c>
      <c r="E26" s="47" t="s">
        <v>411</v>
      </c>
    </row>
    <row r="27" spans="1:5" ht="48" customHeight="1" x14ac:dyDescent="0.25">
      <c r="A27" s="72" t="s">
        <v>97</v>
      </c>
      <c r="B27" s="73">
        <v>3</v>
      </c>
      <c r="C27" s="74" t="s">
        <v>98</v>
      </c>
      <c r="D27" s="48" t="s">
        <v>99</v>
      </c>
      <c r="E27" s="49" t="s">
        <v>100</v>
      </c>
    </row>
    <row r="28" spans="1:5" ht="68" customHeight="1" x14ac:dyDescent="0.25">
      <c r="A28" s="72" t="s">
        <v>101</v>
      </c>
      <c r="B28" s="75">
        <v>3</v>
      </c>
      <c r="C28" s="74" t="s">
        <v>98</v>
      </c>
      <c r="D28" s="48" t="s">
        <v>409</v>
      </c>
      <c r="E28" s="16" t="s">
        <v>408</v>
      </c>
    </row>
    <row r="29" spans="1:5" ht="32" customHeight="1" x14ac:dyDescent="0.25">
      <c r="A29" s="72" t="s">
        <v>102</v>
      </c>
      <c r="B29" s="75">
        <v>20000</v>
      </c>
      <c r="C29" s="74" t="s">
        <v>103</v>
      </c>
      <c r="D29" s="48" t="s">
        <v>104</v>
      </c>
      <c r="E29" s="42" t="s">
        <v>410</v>
      </c>
    </row>
    <row r="30" spans="1:5" ht="34" customHeight="1" x14ac:dyDescent="0.25">
      <c r="A30" s="74" t="s">
        <v>105</v>
      </c>
      <c r="B30" s="76">
        <v>3.7999999999999999E-2</v>
      </c>
      <c r="C30" s="74" t="s">
        <v>106</v>
      </c>
      <c r="D30" s="48" t="s">
        <v>107</v>
      </c>
      <c r="E30" s="50" t="s">
        <v>108</v>
      </c>
    </row>
    <row r="31" spans="1:5" ht="48" customHeight="1" x14ac:dyDescent="0.25">
      <c r="A31" s="74" t="s">
        <v>109</v>
      </c>
      <c r="B31" s="77">
        <v>0.05</v>
      </c>
      <c r="C31" s="74" t="s">
        <v>106</v>
      </c>
      <c r="D31" s="48" t="s">
        <v>110</v>
      </c>
      <c r="E31" s="51" t="s">
        <v>111</v>
      </c>
    </row>
    <row r="32" spans="1:5" ht="34" customHeight="1" x14ac:dyDescent="0.25">
      <c r="A32" s="74" t="s">
        <v>112</v>
      </c>
      <c r="B32" s="76">
        <v>3.7999999999999999E-2</v>
      </c>
      <c r="C32" s="74" t="s">
        <v>106</v>
      </c>
      <c r="D32" s="48" t="s">
        <v>113</v>
      </c>
      <c r="E32" s="50" t="s">
        <v>108</v>
      </c>
    </row>
  </sheetData>
  <hyperlinks>
    <hyperlink ref="E5" r:id="rId1" xr:uid="{00000000-0004-0000-0100-000000000000}"/>
    <hyperlink ref="E7" r:id="rId2" xr:uid="{00000000-0004-0000-0100-000001000000}"/>
    <hyperlink ref="E8" r:id="rId3" xr:uid="{00000000-0004-0000-0100-000002000000}"/>
    <hyperlink ref="E9" r:id="rId4" xr:uid="{00000000-0004-0000-0100-000003000000}"/>
    <hyperlink ref="E10" r:id="rId5" xr:uid="{00000000-0004-0000-0100-000004000000}"/>
    <hyperlink ref="E15" r:id="rId6" xr:uid="{00000000-0004-0000-0100-000005000000}"/>
    <hyperlink ref="E17" r:id="rId7" xr:uid="{00000000-0004-0000-0100-000006000000}"/>
    <hyperlink ref="E18" r:id="rId8" xr:uid="{00000000-0004-0000-0100-000007000000}"/>
    <hyperlink ref="E20" r:id="rId9" xr:uid="{00000000-0004-0000-0100-000008000000}"/>
    <hyperlink ref="E21" r:id="rId10" xr:uid="{00000000-0004-0000-0100-000009000000}"/>
    <hyperlink ref="E24" r:id="rId11" xr:uid="{00000000-0004-0000-0100-00000A000000}"/>
    <hyperlink ref="E25" r:id="rId12" xr:uid="{00000000-0004-0000-0100-00000B000000}"/>
    <hyperlink ref="E27" r:id="rId13" xr:uid="{00000000-0004-0000-0100-00000C000000}"/>
    <hyperlink ref="E30" r:id="rId14" xr:uid="{00000000-0004-0000-0100-00000D000000}"/>
    <hyperlink ref="E32" r:id="rId15" xr:uid="{00000000-0004-0000-0100-00000E000000}"/>
    <hyperlink ref="E13" r:id="rId16" display="https://www.nextbusinessenergy.com.au/blog/how-much-electricity-does-a-small-business-use/_x000a_UNCONFIRMED – validate with lease + retailer bills" xr:uid="{97C719E4-4728-7342-84B6-1A2A46B75C7A}"/>
    <hyperlink ref="E28" r:id="rId17" display="https://www.forbes.com/sites/forbestechcouncil/2021/02/02/inventory-turnover-the-metric-you-should-be-tracking/_x000a_UNCONFIRMED – needs CTS inventory plan/turn targets" xr:uid="{68143C3D-31B2-FB46-B8D1-AA90656DA0ED}"/>
    <hyperlink ref="E29" r:id="rId18" display="https://www.shopify.com/au/retail/cost-of-opening-a-retail-store_x000a_UNCONFIRMED – needs CTS rollout plan/quotes" xr:uid="{A674A735-7725-EF4B-8C34-A1F3DC2070E9}"/>
  </hyperlinks>
  <pageMargins left="0.7" right="0.7" top="0.75" bottom="0.75" header="0.3" footer="0.3"/>
  <drawing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
  <sheetViews>
    <sheetView workbookViewId="0">
      <selection activeCell="C20" sqref="C20"/>
    </sheetView>
  </sheetViews>
  <sheetFormatPr baseColWidth="10" defaultColWidth="8.83203125" defaultRowHeight="15" x14ac:dyDescent="0.2"/>
  <cols>
    <col min="1" max="1" width="18" customWidth="1"/>
    <col min="2" max="2" width="28" customWidth="1"/>
    <col min="3" max="3" width="35.83203125" customWidth="1"/>
    <col min="4" max="4" width="14" customWidth="1"/>
    <col min="5" max="5" width="18" customWidth="1"/>
    <col min="6" max="6" width="16" customWidth="1"/>
    <col min="7" max="7" width="22" customWidth="1"/>
    <col min="8" max="8" width="17.33203125" customWidth="1"/>
    <col min="9" max="9" width="50.5" customWidth="1"/>
    <col min="10" max="10" width="28.5" customWidth="1"/>
    <col min="11" max="11" width="32.1640625" customWidth="1"/>
    <col min="12" max="12" width="38" customWidth="1"/>
    <col min="13" max="13" width="16" customWidth="1"/>
    <col min="14" max="14" width="38" customWidth="1"/>
    <col min="15" max="16" width="12" customWidth="1"/>
  </cols>
  <sheetData>
    <row r="1" spans="1:16" ht="21" customHeight="1" x14ac:dyDescent="0.25">
      <c r="A1" s="18" t="s">
        <v>114</v>
      </c>
    </row>
    <row r="3" spans="1:16" ht="24" customHeight="1" x14ac:dyDescent="0.2">
      <c r="A3" s="14" t="s">
        <v>115</v>
      </c>
      <c r="B3" s="14" t="s">
        <v>116</v>
      </c>
      <c r="C3" s="14" t="s">
        <v>117</v>
      </c>
      <c r="D3" s="14" t="s">
        <v>118</v>
      </c>
      <c r="E3" s="14" t="s">
        <v>119</v>
      </c>
      <c r="F3" s="14" t="s">
        <v>120</v>
      </c>
      <c r="G3" s="14" t="s">
        <v>121</v>
      </c>
      <c r="H3" s="14" t="s">
        <v>122</v>
      </c>
      <c r="I3" s="14" t="s">
        <v>14</v>
      </c>
      <c r="J3" s="14" t="s">
        <v>123</v>
      </c>
      <c r="K3" s="14" t="s">
        <v>124</v>
      </c>
      <c r="L3" s="14" t="s">
        <v>125</v>
      </c>
      <c r="M3" s="14" t="s">
        <v>126</v>
      </c>
      <c r="N3" s="14" t="s">
        <v>127</v>
      </c>
      <c r="O3" s="14" t="s">
        <v>128</v>
      </c>
      <c r="P3" s="14" t="s">
        <v>129</v>
      </c>
    </row>
    <row r="4" spans="1:16" ht="16" customHeight="1" x14ac:dyDescent="0.2">
      <c r="A4" s="19" t="s">
        <v>130</v>
      </c>
      <c r="B4" s="19" t="s">
        <v>131</v>
      </c>
      <c r="C4" s="19" t="s">
        <v>132</v>
      </c>
      <c r="D4" s="19" t="s">
        <v>133</v>
      </c>
      <c r="E4" s="20">
        <v>60</v>
      </c>
      <c r="F4" s="21">
        <v>485000</v>
      </c>
      <c r="G4" s="22">
        <f t="shared" ref="G4:G14" si="0">IFERROR(F4/E4,"")</f>
        <v>8083.333333333333</v>
      </c>
      <c r="H4" s="23">
        <f>Inputs_Global!$B$22*O4+Inputs_Global!$B$23*P4</f>
        <v>1.0361097737120848</v>
      </c>
      <c r="I4" s="19" t="s">
        <v>134</v>
      </c>
      <c r="J4" s="22">
        <f>IFERROR(VLOOKUP(A4,LocationOutputs!$A$4:$K$200,11,FALSE),"")</f>
        <v>-26716.610495907487</v>
      </c>
      <c r="K4" s="78">
        <v>2227</v>
      </c>
      <c r="L4" s="16" t="s">
        <v>135</v>
      </c>
      <c r="M4" s="78">
        <v>33.459555000000002</v>
      </c>
      <c r="N4" s="16" t="s">
        <v>94</v>
      </c>
      <c r="O4" s="19">
        <f>IFERROR(K4/Inputs_Global!$B$24,1)</f>
        <v>1.0722195474241696</v>
      </c>
      <c r="P4" s="19">
        <f>IFERROR(M4/Inputs_Global!$B$25,1)</f>
        <v>1</v>
      </c>
    </row>
    <row r="5" spans="1:16" ht="16" customHeight="1" x14ac:dyDescent="0.2">
      <c r="A5" s="19" t="s">
        <v>136</v>
      </c>
      <c r="B5" s="19" t="s">
        <v>131</v>
      </c>
      <c r="C5" s="19" t="s">
        <v>132</v>
      </c>
      <c r="D5" s="19" t="s">
        <v>133</v>
      </c>
      <c r="E5" s="20">
        <v>60</v>
      </c>
      <c r="F5" s="21">
        <v>350000</v>
      </c>
      <c r="G5" s="22">
        <f t="shared" si="0"/>
        <v>5833.333333333333</v>
      </c>
      <c r="H5" s="23">
        <f>Inputs_Global!$B$22*O5+Inputs_Global!$B$23*P5</f>
        <v>1.0361097737120848</v>
      </c>
      <c r="I5" s="19" t="s">
        <v>137</v>
      </c>
      <c r="J5" s="22">
        <f>IFERROR(VLOOKUP(A5,LocationOutputs!$A$4:$K$200,11,FALSE),"")</f>
        <v>81212.542128069384</v>
      </c>
      <c r="K5" s="78">
        <v>2227</v>
      </c>
      <c r="L5" s="16" t="s">
        <v>135</v>
      </c>
      <c r="M5" s="78">
        <v>33.459555000000002</v>
      </c>
      <c r="N5" s="16" t="s">
        <v>94</v>
      </c>
      <c r="O5" s="19">
        <f>IFERROR(K5/Inputs_Global!$B$24,1)</f>
        <v>1.0722195474241696</v>
      </c>
      <c r="P5" s="19">
        <f>IFERROR(M5/Inputs_Global!$B$25,1)</f>
        <v>1</v>
      </c>
    </row>
    <row r="6" spans="1:16" ht="16" customHeight="1" x14ac:dyDescent="0.2">
      <c r="A6" s="19" t="s">
        <v>138</v>
      </c>
      <c r="B6" s="19" t="s">
        <v>139</v>
      </c>
      <c r="C6" s="19" t="s">
        <v>140</v>
      </c>
      <c r="D6" s="19" t="s">
        <v>133</v>
      </c>
      <c r="E6" s="20">
        <v>60</v>
      </c>
      <c r="F6" s="21">
        <v>287500</v>
      </c>
      <c r="G6" s="22">
        <f t="shared" si="0"/>
        <v>4791.666666666667</v>
      </c>
      <c r="H6" s="23">
        <f>Inputs_Global!$B$22*O6+Inputs_Global!$B$23*P6</f>
        <v>0.87455521414304505</v>
      </c>
      <c r="I6" s="19" t="s">
        <v>141</v>
      </c>
      <c r="J6" s="22">
        <f>IFERROR(VLOOKUP(A6,LocationOutputs!$A$4:$K$200,11,FALSE),"")</f>
        <v>19928.783928591904</v>
      </c>
      <c r="K6" s="78">
        <v>2566</v>
      </c>
      <c r="L6" s="16" t="s">
        <v>142</v>
      </c>
      <c r="M6" s="78">
        <v>17.187327</v>
      </c>
      <c r="N6" s="16" t="s">
        <v>94</v>
      </c>
      <c r="O6" s="19">
        <f>IFERROR(K6/Inputs_Global!$B$24,1)</f>
        <v>1.2354357246027925</v>
      </c>
      <c r="P6" s="19">
        <f>IFERROR(M6/Inputs_Global!$B$25,1)</f>
        <v>0.5136747036832976</v>
      </c>
    </row>
    <row r="7" spans="1:16" ht="16" customHeight="1" x14ac:dyDescent="0.2">
      <c r="A7" s="19" t="s">
        <v>143</v>
      </c>
      <c r="B7" s="19" t="s">
        <v>144</v>
      </c>
      <c r="C7" s="19" t="s">
        <v>145</v>
      </c>
      <c r="D7" s="19" t="s">
        <v>133</v>
      </c>
      <c r="E7" s="20">
        <v>60</v>
      </c>
      <c r="F7" s="21">
        <v>250000</v>
      </c>
      <c r="G7" s="22">
        <f t="shared" si="0"/>
        <v>4166.666666666667</v>
      </c>
      <c r="H7" s="23">
        <f>Inputs_Global!$B$22*O7+Inputs_Global!$B$23*P7</f>
        <v>0.97384696825632333</v>
      </c>
      <c r="I7" s="19" t="s">
        <v>146</v>
      </c>
      <c r="J7" s="22">
        <f>IFERROR(VLOOKUP(A7,LocationOutputs!$A$4:$K$200,11,FALSE),"")</f>
        <v>114528.37216050518</v>
      </c>
      <c r="K7" s="78">
        <v>2092</v>
      </c>
      <c r="L7" s="16" t="s">
        <v>147</v>
      </c>
      <c r="M7" s="78">
        <v>31.467773999999999</v>
      </c>
      <c r="N7" s="16" t="s">
        <v>94</v>
      </c>
      <c r="O7" s="19">
        <f>IFERROR(K7/Inputs_Global!$B$24,1)</f>
        <v>1.007221954742417</v>
      </c>
      <c r="P7" s="19">
        <f>IFERROR(M7/Inputs_Global!$B$25,1)</f>
        <v>0.94047198177022961</v>
      </c>
    </row>
    <row r="8" spans="1:16" ht="16" customHeight="1" x14ac:dyDescent="0.2">
      <c r="A8" s="19" t="s">
        <v>148</v>
      </c>
      <c r="B8" s="19" t="s">
        <v>149</v>
      </c>
      <c r="C8" s="19" t="s">
        <v>150</v>
      </c>
      <c r="D8" s="19" t="s">
        <v>133</v>
      </c>
      <c r="E8" s="20">
        <v>60</v>
      </c>
      <c r="F8" s="21">
        <v>260000</v>
      </c>
      <c r="G8" s="22">
        <f t="shared" si="0"/>
        <v>4333.333333333333</v>
      </c>
      <c r="H8" s="23">
        <f>Inputs_Global!$B$22*O8+Inputs_Global!$B$23*P8</f>
        <v>0.76115822124943067</v>
      </c>
      <c r="I8" s="19" t="s">
        <v>151</v>
      </c>
      <c r="J8" s="22">
        <f>IFERROR(VLOOKUP(A8,LocationOutputs!$A$4:$K$200,11,FALSE),"")</f>
        <v>-47152.113801695756</v>
      </c>
      <c r="K8" s="78">
        <v>2123</v>
      </c>
      <c r="L8" s="16" t="s">
        <v>152</v>
      </c>
      <c r="M8" s="78">
        <v>16.735436</v>
      </c>
      <c r="N8" s="16" t="s">
        <v>94</v>
      </c>
      <c r="O8" s="19">
        <f>IFERROR(K8/Inputs_Global!$B$24,1)</f>
        <v>1.0221473278767452</v>
      </c>
      <c r="P8" s="19">
        <f>IFERROR(M8/Inputs_Global!$B$25,1)</f>
        <v>0.50016911462211611</v>
      </c>
    </row>
    <row r="9" spans="1:16" ht="16" customHeight="1" x14ac:dyDescent="0.2">
      <c r="A9" s="19" t="s">
        <v>153</v>
      </c>
      <c r="B9" s="19" t="s">
        <v>154</v>
      </c>
      <c r="C9" s="19" t="s">
        <v>155</v>
      </c>
      <c r="D9" s="19" t="s">
        <v>133</v>
      </c>
      <c r="E9" s="20">
        <v>60</v>
      </c>
      <c r="F9" s="21">
        <v>210000</v>
      </c>
      <c r="G9" s="22">
        <f t="shared" si="0"/>
        <v>3500</v>
      </c>
      <c r="H9" s="23">
        <f>Inputs_Global!$B$22*O9+Inputs_Global!$B$23*P9</f>
        <v>0.68610410635557717</v>
      </c>
      <c r="I9" s="19" t="s">
        <v>156</v>
      </c>
      <c r="J9" s="22">
        <f>IFERROR(VLOOKUP(A9,LocationOutputs!$A$4:$K$200,11,FALSE),"")</f>
        <v>-64149.16946169408</v>
      </c>
      <c r="K9" s="78">
        <v>1920</v>
      </c>
      <c r="L9" s="16" t="s">
        <v>157</v>
      </c>
      <c r="M9" s="78">
        <v>14.983122</v>
      </c>
      <c r="N9" s="16" t="s">
        <v>94</v>
      </c>
      <c r="O9" s="19">
        <f>IFERROR(K9/Inputs_Global!$B$24,1)</f>
        <v>0.92441020702936927</v>
      </c>
      <c r="P9" s="19">
        <f>IFERROR(M9/Inputs_Global!$B$25,1)</f>
        <v>0.44779800568178502</v>
      </c>
    </row>
    <row r="10" spans="1:16" ht="16" customHeight="1" x14ac:dyDescent="0.2">
      <c r="A10" s="19" t="s">
        <v>158</v>
      </c>
      <c r="B10" s="19" t="s">
        <v>159</v>
      </c>
      <c r="C10" s="19" t="s">
        <v>160</v>
      </c>
      <c r="D10" s="19" t="s">
        <v>133</v>
      </c>
      <c r="E10" s="20">
        <v>60</v>
      </c>
      <c r="F10" s="21">
        <v>250000</v>
      </c>
      <c r="G10" s="22">
        <f t="shared" si="0"/>
        <v>4166.666666666667</v>
      </c>
      <c r="H10" s="23">
        <f>Inputs_Global!$B$22*O10+Inputs_Global!$B$23*P10</f>
        <v>0.67380065235532915</v>
      </c>
      <c r="I10" s="19" t="s">
        <v>161</v>
      </c>
      <c r="J10" s="22">
        <f>IFERROR(VLOOKUP(A10,LocationOutputs!$A$4:$K$200,11,FALSE),"")</f>
        <v>-115131.84767501545</v>
      </c>
      <c r="K10" s="78">
        <v>2127</v>
      </c>
      <c r="L10" s="16" t="s">
        <v>162</v>
      </c>
      <c r="M10" s="78">
        <v>10.825106999999999</v>
      </c>
      <c r="N10" s="16" t="s">
        <v>94</v>
      </c>
      <c r="O10" s="19">
        <f>IFERROR(K10/Inputs_Global!$B$24,1)</f>
        <v>1.0240731824747231</v>
      </c>
      <c r="P10" s="19">
        <f>IFERROR(M10/Inputs_Global!$B$25,1)</f>
        <v>0.32352812223593524</v>
      </c>
    </row>
    <row r="11" spans="1:16" ht="16" customHeight="1" x14ac:dyDescent="0.2">
      <c r="A11" s="19" t="s">
        <v>163</v>
      </c>
      <c r="B11" s="19" t="s">
        <v>164</v>
      </c>
      <c r="C11" s="19" t="s">
        <v>165</v>
      </c>
      <c r="D11" s="19" t="s">
        <v>166</v>
      </c>
      <c r="E11" s="20">
        <v>60</v>
      </c>
      <c r="F11" s="21">
        <v>450000</v>
      </c>
      <c r="G11" s="22">
        <f t="shared" si="0"/>
        <v>7500</v>
      </c>
      <c r="H11" s="23">
        <f>Inputs_Global!$B$22*O11+Inputs_Global!$B$23*P11</f>
        <v>1.0074626865671643</v>
      </c>
      <c r="I11" s="19" t="s">
        <v>167</v>
      </c>
      <c r="J11" s="22">
        <f>IFERROR(VLOOKUP(A11,LocationOutputs!$A$4:$K$200,11,FALSE),"")</f>
        <v>-17288.432835820829</v>
      </c>
      <c r="K11" s="78">
        <v>2108</v>
      </c>
      <c r="L11" s="16" t="s">
        <v>168</v>
      </c>
      <c r="M11" s="78">
        <v>33.459555000000002</v>
      </c>
      <c r="N11" s="16" t="s">
        <v>94</v>
      </c>
      <c r="O11" s="19">
        <f>IFERROR(K11/Inputs_Global!$B$24,1)</f>
        <v>1.0149253731343284</v>
      </c>
      <c r="P11" s="19">
        <f>IFERROR(M11/Inputs_Global!$B$25,1)</f>
        <v>1</v>
      </c>
    </row>
    <row r="12" spans="1:16" ht="16" customHeight="1" x14ac:dyDescent="0.2">
      <c r="A12" s="19" t="s">
        <v>169</v>
      </c>
      <c r="B12" s="19" t="s">
        <v>164</v>
      </c>
      <c r="C12" s="19" t="s">
        <v>170</v>
      </c>
      <c r="D12" s="19" t="s">
        <v>171</v>
      </c>
      <c r="E12" s="20">
        <v>60</v>
      </c>
      <c r="F12" s="21">
        <v>780000</v>
      </c>
      <c r="G12" s="22">
        <f t="shared" si="0"/>
        <v>13000</v>
      </c>
      <c r="H12" s="23">
        <f>Inputs_Global!$B$22*O12+Inputs_Global!$B$23*P12</f>
        <v>1.0074626865671643</v>
      </c>
      <c r="I12" s="19" t="s">
        <v>172</v>
      </c>
      <c r="J12" s="22">
        <f>IFERROR(VLOOKUP(A12,LocationOutputs!$A$4:$K$200,11,FALSE),"")</f>
        <v>-347288.43283582083</v>
      </c>
      <c r="K12" s="78">
        <v>2108</v>
      </c>
      <c r="L12" s="16" t="s">
        <v>168</v>
      </c>
      <c r="M12" s="78">
        <v>33.459555000000002</v>
      </c>
      <c r="N12" s="16" t="s">
        <v>94</v>
      </c>
      <c r="O12" s="19">
        <f>IFERROR(K12/Inputs_Global!$B$24,1)</f>
        <v>1.0149253731343284</v>
      </c>
      <c r="P12" s="19">
        <f>IFERROR(M12/Inputs_Global!$B$25,1)</f>
        <v>1</v>
      </c>
    </row>
    <row r="13" spans="1:16" ht="16" customHeight="1" x14ac:dyDescent="0.2">
      <c r="A13" s="19" t="s">
        <v>173</v>
      </c>
      <c r="B13" s="19" t="s">
        <v>174</v>
      </c>
      <c r="C13" s="19" t="s">
        <v>175</v>
      </c>
      <c r="D13" s="19" t="s">
        <v>176</v>
      </c>
      <c r="E13" s="20">
        <v>60</v>
      </c>
      <c r="F13" s="21">
        <v>180000</v>
      </c>
      <c r="G13" s="22">
        <f t="shared" si="0"/>
        <v>3000</v>
      </c>
      <c r="H13" s="23">
        <f>Inputs_Global!$B$22*O13+Inputs_Global!$B$23*P13</f>
        <v>0.96485315358690427</v>
      </c>
      <c r="I13" s="19" t="s">
        <v>177</v>
      </c>
      <c r="J13" s="22">
        <f>IFERROR(VLOOKUP(A13,LocationOutputs!$A$4:$K$200,11,FALSE),"")</f>
        <v>161007.12566201255</v>
      </c>
      <c r="K13" s="78">
        <v>1931</v>
      </c>
      <c r="L13" s="16" t="s">
        <v>178</v>
      </c>
      <c r="M13" s="78">
        <v>33.459555000000002</v>
      </c>
      <c r="N13" s="16" t="s">
        <v>94</v>
      </c>
      <c r="O13" s="19">
        <f>IFERROR(K13/Inputs_Global!$B$24,1)</f>
        <v>0.92970630717380842</v>
      </c>
      <c r="P13" s="19">
        <f>IFERROR(M13/Inputs_Global!$B$25,1)</f>
        <v>1</v>
      </c>
    </row>
    <row r="14" spans="1:16" ht="16" customHeight="1" x14ac:dyDescent="0.2">
      <c r="A14" s="19" t="s">
        <v>179</v>
      </c>
      <c r="B14" s="19" t="s">
        <v>149</v>
      </c>
      <c r="C14" s="19" t="s">
        <v>180</v>
      </c>
      <c r="D14" s="19" t="s">
        <v>181</v>
      </c>
      <c r="E14" s="20">
        <v>60</v>
      </c>
      <c r="F14" s="21">
        <v>270000</v>
      </c>
      <c r="G14" s="22">
        <f t="shared" si="0"/>
        <v>4500</v>
      </c>
      <c r="H14" s="23">
        <f>Inputs_Global!$B$22*O14+Inputs_Global!$B$23*P14</f>
        <v>0.76115822124943067</v>
      </c>
      <c r="I14" s="19" t="s">
        <v>167</v>
      </c>
      <c r="J14" s="22">
        <f>IFERROR(VLOOKUP(A14,LocationOutputs!$A$4:$K$200,11,FALSE),"")</f>
        <v>-57152.113801695756</v>
      </c>
      <c r="K14" s="78">
        <v>2123</v>
      </c>
      <c r="L14" s="16" t="s">
        <v>152</v>
      </c>
      <c r="M14" s="78">
        <v>16.735436</v>
      </c>
      <c r="N14" s="16" t="s">
        <v>94</v>
      </c>
      <c r="O14" s="19">
        <f>IFERROR(K14/Inputs_Global!$B$24,1)</f>
        <v>1.0221473278767452</v>
      </c>
      <c r="P14" s="19">
        <f>IFERROR(M14/Inputs_Global!$B$25,1)</f>
        <v>0.50016911462211611</v>
      </c>
    </row>
  </sheetData>
  <conditionalFormatting sqref="O4:O14">
    <cfRule type="colorScale" priority="2">
      <colorScale>
        <cfvo type="min"/>
        <cfvo type="percentile" val="50"/>
        <cfvo type="max"/>
        <color rgb="FFF8696B"/>
        <color rgb="FFFFEB84"/>
        <color rgb="FF63BE7B"/>
      </colorScale>
    </cfRule>
  </conditionalFormatting>
  <conditionalFormatting sqref="P4:P14">
    <cfRule type="colorScale" priority="1">
      <colorScale>
        <cfvo type="min"/>
        <cfvo type="percentile" val="50"/>
        <cfvo type="max"/>
        <color rgb="FFF8696B"/>
        <color rgb="FFFFEB84"/>
        <color rgb="FF63BE7B"/>
      </colorScale>
    </cfRule>
  </conditionalFormatting>
  <hyperlinks>
    <hyperlink ref="L4" r:id="rId1" xr:uid="{00000000-0004-0000-0200-000000000000}"/>
    <hyperlink ref="N4" r:id="rId2" xr:uid="{00000000-0004-0000-0200-000001000000}"/>
    <hyperlink ref="L5" r:id="rId3" xr:uid="{00000000-0004-0000-0200-000002000000}"/>
    <hyperlink ref="N5" r:id="rId4" xr:uid="{00000000-0004-0000-0200-000003000000}"/>
    <hyperlink ref="L6" r:id="rId5" xr:uid="{00000000-0004-0000-0200-000004000000}"/>
    <hyperlink ref="N6" r:id="rId6" xr:uid="{00000000-0004-0000-0200-000005000000}"/>
    <hyperlink ref="L7" r:id="rId7" xr:uid="{00000000-0004-0000-0200-000006000000}"/>
    <hyperlink ref="N7" r:id="rId8" xr:uid="{00000000-0004-0000-0200-000007000000}"/>
    <hyperlink ref="L8" r:id="rId9" xr:uid="{00000000-0004-0000-0200-000008000000}"/>
    <hyperlink ref="N8" r:id="rId10" xr:uid="{00000000-0004-0000-0200-000009000000}"/>
    <hyperlink ref="L9" r:id="rId11" xr:uid="{00000000-0004-0000-0200-00000A000000}"/>
    <hyperlink ref="N9" r:id="rId12" xr:uid="{00000000-0004-0000-0200-00000B000000}"/>
    <hyperlink ref="L10" r:id="rId13" xr:uid="{00000000-0004-0000-0200-00000C000000}"/>
    <hyperlink ref="N10" r:id="rId14" xr:uid="{00000000-0004-0000-0200-00000D000000}"/>
    <hyperlink ref="L11" r:id="rId15" xr:uid="{00000000-0004-0000-0200-00000E000000}"/>
    <hyperlink ref="N11" r:id="rId16" xr:uid="{00000000-0004-0000-0200-00000F000000}"/>
    <hyperlink ref="L12" r:id="rId17" xr:uid="{00000000-0004-0000-0200-000010000000}"/>
    <hyperlink ref="N12" r:id="rId18" xr:uid="{00000000-0004-0000-0200-000011000000}"/>
    <hyperlink ref="L13" r:id="rId19" xr:uid="{00000000-0004-0000-0200-000012000000}"/>
    <hyperlink ref="N13" r:id="rId20" xr:uid="{00000000-0004-0000-0200-000013000000}"/>
    <hyperlink ref="L14" r:id="rId21" xr:uid="{00000000-0004-0000-0200-000014000000}"/>
    <hyperlink ref="N14" r:id="rId22" xr:uid="{00000000-0004-0000-0200-000015000000}"/>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workbookViewId="0">
      <selection activeCell="C8" sqref="C8"/>
    </sheetView>
  </sheetViews>
  <sheetFormatPr baseColWidth="10" defaultColWidth="8.83203125" defaultRowHeight="15" x14ac:dyDescent="0.2"/>
  <cols>
    <col min="1" max="1" width="30" customWidth="1"/>
    <col min="2" max="2" width="23" customWidth="1"/>
    <col min="3" max="4" width="11.5" bestFit="1" customWidth="1"/>
    <col min="5" max="7" width="12.33203125" bestFit="1" customWidth="1"/>
  </cols>
  <sheetData>
    <row r="1" spans="1:2" ht="19" customHeight="1" x14ac:dyDescent="0.25">
      <c r="A1" s="24" t="s">
        <v>182</v>
      </c>
    </row>
    <row r="3" spans="1:2" x14ac:dyDescent="0.2">
      <c r="A3" s="25" t="s">
        <v>183</v>
      </c>
      <c r="B3" s="26" t="s">
        <v>143</v>
      </c>
    </row>
    <row r="5" spans="1:2" x14ac:dyDescent="0.2">
      <c r="A5" s="25" t="s">
        <v>184</v>
      </c>
    </row>
    <row r="6" spans="1:2" ht="16" customHeight="1" x14ac:dyDescent="0.2">
      <c r="A6" s="27" t="s">
        <v>116</v>
      </c>
      <c r="B6" s="28" t="str">
        <f>IFERROR(VLOOKUP($B$3,Locations!$A$4:$J$200,2,FALSE),"")</f>
        <v>Parramatta</v>
      </c>
    </row>
    <row r="7" spans="1:2" ht="35" customHeight="1" x14ac:dyDescent="0.2">
      <c r="A7" s="27" t="s">
        <v>185</v>
      </c>
      <c r="B7" s="28" t="str">
        <f>IFERROR(VLOOKUP($B$3,Locations!$A$4:$J$200,3,FALSE),"")</f>
        <v>Westfield Parramatta</v>
      </c>
    </row>
    <row r="8" spans="1:2" ht="16" customHeight="1" x14ac:dyDescent="0.2">
      <c r="A8" s="27" t="s">
        <v>186</v>
      </c>
      <c r="B8" s="28" t="str">
        <f>IFERROR(VLOOKUP($B$3,Locations!$A$4:$J$200,4,FALSE),"")</f>
        <v>Westfield</v>
      </c>
    </row>
    <row r="9" spans="1:2" ht="16" customHeight="1" x14ac:dyDescent="0.2">
      <c r="A9" s="27" t="s">
        <v>187</v>
      </c>
      <c r="B9" s="29">
        <f>IFERROR(VLOOKUP($B$3,Locations!$A$4:$J$200,5,FALSE),"")</f>
        <v>60</v>
      </c>
    </row>
    <row r="10" spans="1:2" ht="16" customHeight="1" x14ac:dyDescent="0.2">
      <c r="A10" s="27" t="s">
        <v>188</v>
      </c>
      <c r="B10" s="30">
        <f>IFERROR(VLOOKUP($B$3,Locations!$A$4:$J$200,6,FALSE),"")</f>
        <v>250000</v>
      </c>
    </row>
    <row r="11" spans="1:2" ht="16" customHeight="1" x14ac:dyDescent="0.2">
      <c r="A11" s="27" t="s">
        <v>122</v>
      </c>
      <c r="B11" s="31">
        <f>IFERROR(VLOOKUP($B$3,Locations!$A$4:$J$200,8,FALSE),"")</f>
        <v>0.97384696825632333</v>
      </c>
    </row>
    <row r="14" spans="1:2" x14ac:dyDescent="0.2">
      <c r="A14" s="25" t="s">
        <v>189</v>
      </c>
    </row>
    <row r="15" spans="1:2" ht="16" customHeight="1" x14ac:dyDescent="0.2">
      <c r="A15" s="32" t="s">
        <v>190</v>
      </c>
      <c r="B15" s="32" t="s">
        <v>43</v>
      </c>
    </row>
    <row r="16" spans="1:2" ht="16" customHeight="1" x14ac:dyDescent="0.2">
      <c r="A16" s="33" t="s">
        <v>191</v>
      </c>
      <c r="B16" s="34">
        <f>B9*Inputs_Global!$B$5*B11</f>
        <v>1606847.4976229335</v>
      </c>
    </row>
    <row r="17" spans="1:2" ht="16" customHeight="1" x14ac:dyDescent="0.2">
      <c r="A17" s="28" t="s">
        <v>192</v>
      </c>
      <c r="B17" s="35">
        <f>-B16*(1-Inputs_Global!$B$7)</f>
        <v>-642738.99904917344</v>
      </c>
    </row>
    <row r="18" spans="1:2" ht="16" customHeight="1" x14ac:dyDescent="0.2">
      <c r="A18" s="33" t="s">
        <v>193</v>
      </c>
      <c r="B18" s="34">
        <f>B16+B17</f>
        <v>964108.49857376004</v>
      </c>
    </row>
    <row r="19" spans="1:2" x14ac:dyDescent="0.2">
      <c r="A19" s="28"/>
    </row>
    <row r="20" spans="1:2" ht="16" customHeight="1" x14ac:dyDescent="0.2">
      <c r="A20" s="28" t="s">
        <v>194</v>
      </c>
      <c r="B20" s="35">
        <f>-B10</f>
        <v>-250000</v>
      </c>
    </row>
    <row r="21" spans="1:2" ht="16" customHeight="1" x14ac:dyDescent="0.2">
      <c r="A21" s="28" t="s">
        <v>195</v>
      </c>
      <c r="B21" s="35">
        <f>-(Inputs_Global!$B$17 + Inputs_Global!$B$18*Inputs_Global!$B$19)</f>
        <v>-305000</v>
      </c>
    </row>
    <row r="22" spans="1:2" ht="16" customHeight="1" x14ac:dyDescent="0.2">
      <c r="A22" s="28" t="s">
        <v>196</v>
      </c>
      <c r="B22" s="35">
        <f>B21*Inputs_Global!$B$20</f>
        <v>-36600</v>
      </c>
    </row>
    <row r="23" spans="1:2" ht="16" customHeight="1" x14ac:dyDescent="0.2">
      <c r="A23" s="28" t="s">
        <v>197</v>
      </c>
      <c r="B23" s="35">
        <f>-B16*Inputs_Global!$B$8</f>
        <v>-14461.6274786064</v>
      </c>
    </row>
    <row r="24" spans="1:2" ht="16" customHeight="1" x14ac:dyDescent="0.2">
      <c r="A24" s="28" t="s">
        <v>198</v>
      </c>
      <c r="B24" s="35">
        <f>-(Inputs_Global!$B$9 + B16*Inputs_Global!$B$10)</f>
        <v>-100342.37488114668</v>
      </c>
    </row>
    <row r="25" spans="1:2" ht="16" customHeight="1" x14ac:dyDescent="0.2">
      <c r="A25" s="28" t="s">
        <v>199</v>
      </c>
      <c r="B25" s="35">
        <f>-Inputs_Global!$B$11</f>
        <v>-40000</v>
      </c>
    </row>
    <row r="26" spans="1:2" ht="16" customHeight="1" x14ac:dyDescent="0.2">
      <c r="A26" s="28" t="s">
        <v>53</v>
      </c>
      <c r="B26" s="35">
        <f>-(Inputs_Global!$B$13*B9)</f>
        <v>-9000</v>
      </c>
    </row>
    <row r="27" spans="1:2" ht="16" customHeight="1" x14ac:dyDescent="0.2">
      <c r="A27" s="28" t="s">
        <v>55</v>
      </c>
      <c r="B27" s="35">
        <f>-Inputs_Global!$B$14</f>
        <v>-6000</v>
      </c>
    </row>
    <row r="28" spans="1:2" ht="16" customHeight="1" x14ac:dyDescent="0.2">
      <c r="A28" s="28" t="s">
        <v>51</v>
      </c>
      <c r="B28" s="35">
        <f>-Inputs_Global!$B$12</f>
        <v>-20000</v>
      </c>
    </row>
    <row r="29" spans="1:2" ht="16" customHeight="1" x14ac:dyDescent="0.2">
      <c r="A29" s="28" t="s">
        <v>200</v>
      </c>
      <c r="B29" s="35">
        <f>-(Inputs_Global!$B$15*B9/Inputs_Global!$B$16)</f>
        <v>-30000</v>
      </c>
    </row>
    <row r="30" spans="1:2" ht="16" customHeight="1" x14ac:dyDescent="0.2">
      <c r="A30" s="27" t="s">
        <v>201</v>
      </c>
      <c r="B30" s="35">
        <f>SUM(B20:B29)</f>
        <v>-811404.00235975313</v>
      </c>
    </row>
    <row r="31" spans="1:2" ht="16" customHeight="1" x14ac:dyDescent="0.2">
      <c r="A31" s="33" t="s">
        <v>202</v>
      </c>
      <c r="B31" s="34">
        <f>B18+B30</f>
        <v>152704.49621400691</v>
      </c>
    </row>
    <row r="32" spans="1:2" ht="16" customHeight="1" x14ac:dyDescent="0.2">
      <c r="A32" s="28" t="s">
        <v>203</v>
      </c>
      <c r="B32" s="35">
        <f>-MAX(0,B31)*Inputs_Global!$B$21</f>
        <v>-38176.124053501728</v>
      </c>
    </row>
    <row r="33" spans="1:7" ht="16" customHeight="1" x14ac:dyDescent="0.2">
      <c r="A33" s="33" t="s">
        <v>204</v>
      </c>
      <c r="B33" s="34">
        <f>B31+B32</f>
        <v>114528.37216050518</v>
      </c>
    </row>
    <row r="36" spans="1:7" ht="16" customHeight="1" x14ac:dyDescent="0.2">
      <c r="A36" s="36" t="s">
        <v>205</v>
      </c>
    </row>
    <row r="37" spans="1:7" x14ac:dyDescent="0.2">
      <c r="A37" t="s">
        <v>206</v>
      </c>
    </row>
    <row r="38" spans="1:7" x14ac:dyDescent="0.2">
      <c r="A38" t="s">
        <v>207</v>
      </c>
      <c r="B38" s="37" t="s">
        <v>108</v>
      </c>
    </row>
    <row r="40" spans="1:7" x14ac:dyDescent="0.2">
      <c r="A40" s="38" t="s">
        <v>208</v>
      </c>
      <c r="B40" s="38" t="s">
        <v>209</v>
      </c>
      <c r="C40" s="38" t="s">
        <v>210</v>
      </c>
      <c r="D40" s="38" t="s">
        <v>211</v>
      </c>
      <c r="E40" s="38" t="s">
        <v>212</v>
      </c>
      <c r="F40" s="38" t="s">
        <v>213</v>
      </c>
      <c r="G40" s="38" t="s">
        <v>214</v>
      </c>
    </row>
    <row r="41" spans="1:7" x14ac:dyDescent="0.2">
      <c r="A41" s="39" t="s">
        <v>215</v>
      </c>
      <c r="B41" s="43">
        <f>-(Inputs_Global!$B$15*$B$9 + (-$B$17)*Inputs_Global!$B$28/12 + $B$10*Inputs_Global!$B$27/12 + Inputs_Global!$B$29)</f>
        <v>-393184.74976229336</v>
      </c>
      <c r="C41" s="43"/>
      <c r="D41" s="43"/>
      <c r="E41" s="43"/>
      <c r="F41" s="43"/>
      <c r="G41" s="43"/>
    </row>
    <row r="42" spans="1:7" x14ac:dyDescent="0.2">
      <c r="A42" s="39" t="s">
        <v>191</v>
      </c>
      <c r="B42" s="43"/>
      <c r="C42" s="43">
        <f>$B$16</f>
        <v>1606847.4976229335</v>
      </c>
      <c r="D42" s="43">
        <f>$B$16*(1+Inputs_Global!$B$31)^1</f>
        <v>1687189.8725040802</v>
      </c>
      <c r="E42" s="43">
        <f>$B$16*(1+Inputs_Global!$B$31)^2</f>
        <v>1771549.3661292843</v>
      </c>
      <c r="F42" s="43">
        <f>$B$16*(1+Inputs_Global!$B$31)^3</f>
        <v>1860126.8344357486</v>
      </c>
      <c r="G42" s="43">
        <f>$B$16*(1+Inputs_Global!$B$31)^4</f>
        <v>1953133.1761575358</v>
      </c>
    </row>
    <row r="43" spans="1:7" x14ac:dyDescent="0.2">
      <c r="A43" s="39" t="s">
        <v>202</v>
      </c>
      <c r="B43" s="43"/>
      <c r="C43" s="43">
        <f>$B$31</f>
        <v>152704.49621400691</v>
      </c>
      <c r="D43" s="43">
        <f>D42 + (-D42*(1-Inputs_Global!$B$7)) + (-D42*Inputs_Global!$B$8) + (-D42*Inputs_Global!$B$10) + (-(Inputs_Global!$B$9)*(1+Inputs_Global!$B$32)^1) + (($B$20+$B$21+$B$22+$B$25+$B$26+$B$27+$B$28)*(1+Inputs_Global!$B$32)^1) + $B$29</f>
        <v>170078.92102470715</v>
      </c>
      <c r="E43" s="43">
        <f>E42 + (-E42*(1-Inputs_Global!$B$7)) + (-E42*Inputs_Global!$B$8) + (-E42*Inputs_Global!$B$10) + (-(Inputs_Global!$B$9)*(1+Inputs_Global!$B$32)^2) + (($B$20+$B$21+$B$22+$B$25+$B$26+$B$27+$B$28)*(1+Inputs_Global!$B$32)^2) + $B$29</f>
        <v>188635.15667594282</v>
      </c>
      <c r="F43" s="43">
        <f>F42 + (-F42*(1-Inputs_Global!$B$7)) + (-F42*Inputs_Global!$B$8) + (-F42*Inputs_Global!$B$10) + (-(Inputs_Global!$B$9)*(1+Inputs_Global!$B$32)^3) + (($B$20+$B$21+$B$22+$B$25+$B$26+$B$27+$B$28)*(1+Inputs_Global!$B$32)^3) + $B$29</f>
        <v>208444.19111453975</v>
      </c>
      <c r="G43" s="43">
        <f>G42 + (-G42*(1-Inputs_Global!$B$7)) + (-G42*Inputs_Global!$B$8) + (-G42*Inputs_Global!$B$10) + (-(Inputs_Global!$B$9)*(1+Inputs_Global!$B$32)^4) + (($B$20+$B$21+$B$22+$B$25+$B$26+$B$27+$B$28)*(1+Inputs_Global!$B$32)^4) + $B$29</f>
        <v>229581.01378604933</v>
      </c>
    </row>
    <row r="44" spans="1:7" x14ac:dyDescent="0.2">
      <c r="A44" s="39" t="s">
        <v>203</v>
      </c>
      <c r="B44" s="43"/>
      <c r="C44" s="43">
        <f>$B$32</f>
        <v>-38176.124053501728</v>
      </c>
      <c r="D44" s="43">
        <f>-MAX(0,D43)*Inputs_Global!$B$21</f>
        <v>-42519.730256176786</v>
      </c>
      <c r="E44" s="43">
        <f>-MAX(0,E43)*Inputs_Global!$B$21</f>
        <v>-47158.789168985706</v>
      </c>
      <c r="F44" s="43">
        <f>-MAX(0,F43)*Inputs_Global!$B$21</f>
        <v>-52111.047778634937</v>
      </c>
      <c r="G44" s="43">
        <f>-MAX(0,G43)*Inputs_Global!$B$21</f>
        <v>-57395.253446512332</v>
      </c>
    </row>
    <row r="45" spans="1:7" x14ac:dyDescent="0.2">
      <c r="A45" s="39" t="s">
        <v>216</v>
      </c>
      <c r="B45" s="43"/>
      <c r="C45" s="43">
        <f>$B$33</f>
        <v>114528.37216050518</v>
      </c>
      <c r="D45" s="43">
        <f>D43+D44</f>
        <v>127559.19076853036</v>
      </c>
      <c r="E45" s="43">
        <f>E43+E44</f>
        <v>141476.36750695712</v>
      </c>
      <c r="F45" s="43">
        <f>F43+F44</f>
        <v>156333.14333590481</v>
      </c>
      <c r="G45" s="43">
        <f>G43+G44</f>
        <v>172185.760339537</v>
      </c>
    </row>
    <row r="46" spans="1:7" x14ac:dyDescent="0.2">
      <c r="A46" s="39" t="s">
        <v>217</v>
      </c>
      <c r="B46" s="43"/>
      <c r="C46" s="43">
        <f>-$B$29</f>
        <v>30000</v>
      </c>
      <c r="D46" s="43">
        <f>-$B$29</f>
        <v>30000</v>
      </c>
      <c r="E46" s="43">
        <f>-$B$29</f>
        <v>30000</v>
      </c>
      <c r="F46" s="43">
        <f>-$B$29</f>
        <v>30000</v>
      </c>
      <c r="G46" s="43">
        <f>-$B$29</f>
        <v>30000</v>
      </c>
    </row>
    <row r="47" spans="1:7" x14ac:dyDescent="0.2">
      <c r="A47" s="41" t="s">
        <v>218</v>
      </c>
      <c r="B47" s="43">
        <f>B41</f>
        <v>-393184.74976229336</v>
      </c>
      <c r="C47" s="43">
        <f>C45+C46</f>
        <v>144528.37216050518</v>
      </c>
      <c r="D47" s="43">
        <f>D45+D46</f>
        <v>157559.19076853036</v>
      </c>
      <c r="E47" s="43">
        <f>E45+E46</f>
        <v>171476.36750695712</v>
      </c>
      <c r="F47" s="43">
        <f>F45+F46</f>
        <v>186333.14333590481</v>
      </c>
      <c r="G47" s="43">
        <f>G45+G46</f>
        <v>202185.760339537</v>
      </c>
    </row>
    <row r="48" spans="1:7" x14ac:dyDescent="0.2">
      <c r="A48" s="39" t="s">
        <v>219</v>
      </c>
      <c r="B48" s="45">
        <f>1</f>
        <v>1</v>
      </c>
      <c r="C48" s="45">
        <f>1/(1+Inputs_Global!$B$30)^1</f>
        <v>0.96339113680154143</v>
      </c>
      <c r="D48" s="45">
        <f>1/(1+Inputs_Global!$B$30)^2</f>
        <v>0.9281224824677663</v>
      </c>
      <c r="E48" s="45">
        <f>1/(1+Inputs_Global!$B$30)^3</f>
        <v>0.89414497347569</v>
      </c>
      <c r="F48" s="45">
        <f>1/(1+Inputs_Global!$B$30)^4</f>
        <v>0.86141134246212903</v>
      </c>
      <c r="G48" s="45">
        <f>1/(1+Inputs_Global!$B$30)^5</f>
        <v>0.8298760524683324</v>
      </c>
    </row>
    <row r="49" spans="1:7" x14ac:dyDescent="0.2">
      <c r="A49" s="41" t="s">
        <v>220</v>
      </c>
      <c r="B49" s="43">
        <f t="shared" ref="B49:G49" si="0">B47*B48</f>
        <v>-393184.74976229336</v>
      </c>
      <c r="C49" s="43">
        <f t="shared" si="0"/>
        <v>139237.35275578534</v>
      </c>
      <c r="D49" s="43">
        <f t="shared" si="0"/>
        <v>146234.22727170077</v>
      </c>
      <c r="E49" s="43">
        <f t="shared" si="0"/>
        <v>153324.73207621585</v>
      </c>
      <c r="F49" s="43">
        <f t="shared" si="0"/>
        <v>160509.48314617007</v>
      </c>
      <c r="G49" s="43">
        <f t="shared" si="0"/>
        <v>167789.12065588328</v>
      </c>
    </row>
    <row r="50" spans="1:7" ht="16" thickBot="1" x14ac:dyDescent="0.25">
      <c r="A50" s="40"/>
      <c r="B50" s="52"/>
      <c r="C50" s="43"/>
      <c r="D50" s="43"/>
      <c r="E50" s="43"/>
      <c r="F50" s="43"/>
      <c r="G50" s="43"/>
    </row>
    <row r="51" spans="1:7" ht="16" thickBot="1" x14ac:dyDescent="0.25">
      <c r="A51" s="2" t="s">
        <v>221</v>
      </c>
      <c r="B51" s="53">
        <f>SUM(B49:G49)</f>
        <v>373910.16614346195</v>
      </c>
      <c r="C51" s="44"/>
      <c r="D51" s="44"/>
      <c r="E51" s="44"/>
      <c r="F51" s="44"/>
      <c r="G51" s="4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errorTitle="Invalid Location_ID" error="Select a location from the list" promptTitle="Location selector" prompt="Choose Location_ID" xr:uid="{00000000-0002-0000-0300-000000000000}">
          <x14:formula1>
            <xm:f>Locations!$A$4:$A$14</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
  <sheetViews>
    <sheetView workbookViewId="0">
      <selection activeCell="H20" sqref="H20"/>
    </sheetView>
  </sheetViews>
  <sheetFormatPr baseColWidth="10" defaultColWidth="8.83203125" defaultRowHeight="15" x14ac:dyDescent="0.2"/>
  <cols>
    <col min="1" max="2" width="16" customWidth="1"/>
    <col min="3" max="3" width="18" customWidth="1"/>
    <col min="4" max="4" width="14" customWidth="1"/>
    <col min="5" max="5" width="16" customWidth="1"/>
    <col min="6" max="6" width="12" customWidth="1"/>
    <col min="7" max="9" width="16" customWidth="1"/>
    <col min="10" max="10" width="14" customWidth="1"/>
    <col min="11" max="11" width="20.6640625" customWidth="1"/>
    <col min="12" max="12" width="21.1640625" customWidth="1"/>
  </cols>
  <sheetData>
    <row r="1" spans="1:12" ht="19" customHeight="1" x14ac:dyDescent="0.25">
      <c r="A1" s="1" t="s">
        <v>222</v>
      </c>
    </row>
    <row r="3" spans="1:12" ht="16" customHeight="1" x14ac:dyDescent="0.2">
      <c r="A3" s="3" t="s">
        <v>115</v>
      </c>
      <c r="B3" s="3" t="s">
        <v>116</v>
      </c>
      <c r="C3" s="3" t="s">
        <v>186</v>
      </c>
      <c r="D3" s="3" t="s">
        <v>119</v>
      </c>
      <c r="E3" s="3" t="s">
        <v>223</v>
      </c>
      <c r="F3" s="3" t="s">
        <v>122</v>
      </c>
      <c r="G3" s="3" t="s">
        <v>224</v>
      </c>
      <c r="H3" s="3" t="s">
        <v>225</v>
      </c>
      <c r="I3" s="3" t="s">
        <v>226</v>
      </c>
      <c r="J3" s="3" t="s">
        <v>227</v>
      </c>
      <c r="K3" s="3" t="s">
        <v>228</v>
      </c>
      <c r="L3" s="3" t="s">
        <v>229</v>
      </c>
    </row>
    <row r="4" spans="1:12" ht="16" customHeight="1" x14ac:dyDescent="0.2">
      <c r="A4" s="4" t="s">
        <v>130</v>
      </c>
      <c r="B4" s="4" t="str">
        <f>IFERROR(VLOOKUP($A4,Locations!$A$4:$J$200,2,FALSE),"")</f>
        <v>Sydney</v>
      </c>
      <c r="C4" s="4" t="str">
        <f>IFERROR(VLOOKUP($A4,Locations!$A$4:$J$200,4,FALSE),"")</f>
        <v>Westfield</v>
      </c>
      <c r="D4" s="7">
        <f>IFERROR(VLOOKUP($A4,Locations!$A$4:$J$200,5,FALSE),"")</f>
        <v>60</v>
      </c>
      <c r="E4" s="6">
        <f>IFERROR(VLOOKUP($A4,Locations!$A$4:$J$200,6,FALSE),"")</f>
        <v>485000</v>
      </c>
      <c r="F4" s="8">
        <f>IFERROR(VLOOKUP($A4,Locations!$A$4:$J$200,8,FALSE),"")</f>
        <v>1.0361097737120848</v>
      </c>
      <c r="G4" s="6">
        <f>IFERROR(D4*Inputs_Global!$B$5*F4,"")</f>
        <v>1709581.12662494</v>
      </c>
      <c r="H4" s="6">
        <f>IFERROR(G4*Inputs_Global!$B$7,"")</f>
        <v>1025748.6759749639</v>
      </c>
      <c r="I4" s="6">
        <f>IFERROR(-E4-(Inputs_Global!$B$17 + Inputs_Global!$B$18*Inputs_Global!$B$19)-(Inputs_Global!$B$20*(Inputs_Global!$B$17 + Inputs_Global!$B$18*Inputs_Global!$B$19))-(G4*Inputs_Global!$B$8)-(Inputs_Global!$B$9 + G4*Inputs_Global!$B$10)-(Inputs_Global!$B$11)-(Inputs_Global!$B$13*D4)-(Inputs_Global!$B$14)-(Inputs_Global!$B$12)-(Inputs_Global!$B$15*D4/Inputs_Global!$B$16),"")</f>
        <v>-1052465.2864708714</v>
      </c>
      <c r="J4" s="6">
        <f t="shared" ref="J4:J14" si="0">IFERROR(H4+I4,"")</f>
        <v>-26716.610495907487</v>
      </c>
      <c r="K4" s="6">
        <f>IFERROR(J4 - MAX(0,J4)*Inputs_Global!$B$21,"")</f>
        <v>-26716.610495907487</v>
      </c>
      <c r="L4" s="6">
        <f>IFERROR((Inputs_Global!$B$15*D4) + ((G4-H4)*Inputs_Global!$B$28/12) + (E4*Inputs_Global!$B$27/12) + Inputs_Global!$B$29, "")</f>
        <v>462208.11266249401</v>
      </c>
    </row>
    <row r="5" spans="1:12" ht="16" customHeight="1" x14ac:dyDescent="0.2">
      <c r="A5" s="4" t="s">
        <v>136</v>
      </c>
      <c r="B5" s="4" t="str">
        <f>IFERROR(VLOOKUP($A5,Locations!$A$4:$J$200,2,FALSE),"")</f>
        <v>Sydney</v>
      </c>
      <c r="C5" s="4" t="str">
        <f>IFERROR(VLOOKUP($A5,Locations!$A$4:$J$200,4,FALSE),"")</f>
        <v>Westfield</v>
      </c>
      <c r="D5" s="7">
        <f>IFERROR(VLOOKUP($A5,Locations!$A$4:$J$200,5,FALSE),"")</f>
        <v>60</v>
      </c>
      <c r="E5" s="6">
        <f>IFERROR(VLOOKUP($A5,Locations!$A$4:$J$200,6,FALSE),"")</f>
        <v>350000</v>
      </c>
      <c r="F5" s="8">
        <f>IFERROR(VLOOKUP($A5,Locations!$A$4:$J$200,8,FALSE),"")</f>
        <v>1.0361097737120848</v>
      </c>
      <c r="G5" s="6">
        <f>IFERROR(D5*Inputs_Global!$B$5*F5,"")</f>
        <v>1709581.12662494</v>
      </c>
      <c r="H5" s="6">
        <f>IFERROR(G5*Inputs_Global!$B$7,"")</f>
        <v>1025748.6759749639</v>
      </c>
      <c r="I5" s="6">
        <f>IFERROR(-E5-(Inputs_Global!$B$17 + Inputs_Global!$B$18*Inputs_Global!$B$19)-(Inputs_Global!$B$20*(Inputs_Global!$B$17 + Inputs_Global!$B$18*Inputs_Global!$B$19))-(G5*Inputs_Global!$B$8)-(Inputs_Global!$B$9 + G5*Inputs_Global!$B$10)-(Inputs_Global!$B$11)-(Inputs_Global!$B$13*D5)-(Inputs_Global!$B$14)-(Inputs_Global!$B$12)-(Inputs_Global!$B$15*D5/Inputs_Global!$B$16),"")</f>
        <v>-917465.28647087142</v>
      </c>
      <c r="J5" s="6">
        <f t="shared" si="0"/>
        <v>108283.38950409251</v>
      </c>
      <c r="K5" s="6">
        <f>IFERROR(J5 - MAX(0,J5)*Inputs_Global!$B$21,"")</f>
        <v>81212.542128069384</v>
      </c>
      <c r="L5" s="6">
        <f>IFERROR((Inputs_Global!$B$15*D5) + ((G5-H5)*Inputs_Global!$B$28/12) + (E5*Inputs_Global!$B$27/12) + Inputs_Global!$B$29, "")</f>
        <v>428458.11266249401</v>
      </c>
    </row>
    <row r="6" spans="1:12" ht="16" customHeight="1" x14ac:dyDescent="0.2">
      <c r="A6" s="4" t="s">
        <v>138</v>
      </c>
      <c r="B6" s="4" t="str">
        <f>IFERROR(VLOOKUP($A6,Locations!$A$4:$J$200,2,FALSE),"")</f>
        <v>Bondi Junction</v>
      </c>
      <c r="C6" s="4" t="str">
        <f>IFERROR(VLOOKUP($A6,Locations!$A$4:$J$200,4,FALSE),"")</f>
        <v>Westfield</v>
      </c>
      <c r="D6" s="7">
        <f>IFERROR(VLOOKUP($A6,Locations!$A$4:$J$200,5,FALSE),"")</f>
        <v>60</v>
      </c>
      <c r="E6" s="6">
        <f>IFERROR(VLOOKUP($A6,Locations!$A$4:$J$200,6,FALSE),"")</f>
        <v>287500</v>
      </c>
      <c r="F6" s="8">
        <f>IFERROR(VLOOKUP($A6,Locations!$A$4:$J$200,8,FALSE),"")</f>
        <v>0.87455521414304505</v>
      </c>
      <c r="G6" s="6">
        <f>IFERROR(D6*Inputs_Global!$B$5*F6,"")</f>
        <v>1443016.1033360243</v>
      </c>
      <c r="H6" s="6">
        <f>IFERROR(G6*Inputs_Global!$B$7,"")</f>
        <v>865809.66200161458</v>
      </c>
      <c r="I6" s="6">
        <f>IFERROR(-E6-(Inputs_Global!$B$17 + Inputs_Global!$B$18*Inputs_Global!$B$19)-(Inputs_Global!$B$20*(Inputs_Global!$B$17 + Inputs_Global!$B$18*Inputs_Global!$B$19))-(G6*Inputs_Global!$B$8)-(Inputs_Global!$B$9 + G6*Inputs_Global!$B$10)-(Inputs_Global!$B$11)-(Inputs_Global!$B$13*D6)-(Inputs_Global!$B$14)-(Inputs_Global!$B$12)-(Inputs_Global!$B$15*D6/Inputs_Global!$B$16),"")</f>
        <v>-839237.95009682537</v>
      </c>
      <c r="J6" s="6">
        <f t="shared" si="0"/>
        <v>26571.711904789205</v>
      </c>
      <c r="K6" s="6">
        <f>IFERROR(J6 - MAX(0,J6)*Inputs_Global!$B$21,"")</f>
        <v>19928.783928591904</v>
      </c>
      <c r="L6" s="6">
        <f>IFERROR((Inputs_Global!$B$15*D6) + ((G6-H6)*Inputs_Global!$B$28/12) + (E6*Inputs_Global!$B$27/12) + Inputs_Global!$B$29, "")</f>
        <v>386176.61033360241</v>
      </c>
    </row>
    <row r="7" spans="1:12" ht="16" customHeight="1" x14ac:dyDescent="0.2">
      <c r="A7" s="4" t="s">
        <v>143</v>
      </c>
      <c r="B7" s="4" t="str">
        <f>IFERROR(VLOOKUP($A7,Locations!$A$4:$J$200,2,FALSE),"")</f>
        <v>Parramatta</v>
      </c>
      <c r="C7" s="4" t="str">
        <f>IFERROR(VLOOKUP($A7,Locations!$A$4:$J$200,4,FALSE),"")</f>
        <v>Westfield</v>
      </c>
      <c r="D7" s="7">
        <f>IFERROR(VLOOKUP($A7,Locations!$A$4:$J$200,5,FALSE),"")</f>
        <v>60</v>
      </c>
      <c r="E7" s="6">
        <f>IFERROR(VLOOKUP($A7,Locations!$A$4:$J$200,6,FALSE),"")</f>
        <v>250000</v>
      </c>
      <c r="F7" s="8">
        <f>IFERROR(VLOOKUP($A7,Locations!$A$4:$J$200,8,FALSE),"")</f>
        <v>0.97384696825632333</v>
      </c>
      <c r="G7" s="6">
        <f>IFERROR(D7*Inputs_Global!$B$5*F7,"")</f>
        <v>1606847.4976229335</v>
      </c>
      <c r="H7" s="6">
        <f>IFERROR(G7*Inputs_Global!$B$7,"")</f>
        <v>964108.49857376004</v>
      </c>
      <c r="I7" s="6">
        <f>IFERROR(-E7-(Inputs_Global!$B$17 + Inputs_Global!$B$18*Inputs_Global!$B$19)-(Inputs_Global!$B$20*(Inputs_Global!$B$17 + Inputs_Global!$B$18*Inputs_Global!$B$19))-(G7*Inputs_Global!$B$8)-(Inputs_Global!$B$9 + G7*Inputs_Global!$B$10)-(Inputs_Global!$B$11)-(Inputs_Global!$B$13*D7)-(Inputs_Global!$B$14)-(Inputs_Global!$B$12)-(Inputs_Global!$B$15*D7/Inputs_Global!$B$16),"")</f>
        <v>-811404.00235975313</v>
      </c>
      <c r="J7" s="6">
        <f t="shared" si="0"/>
        <v>152704.49621400691</v>
      </c>
      <c r="K7" s="6">
        <f>IFERROR(J7 - MAX(0,J7)*Inputs_Global!$B$21,"")</f>
        <v>114528.37216050518</v>
      </c>
      <c r="L7" s="6">
        <f>IFERROR((Inputs_Global!$B$15*D7) + ((G7-H7)*Inputs_Global!$B$28/12) + (E7*Inputs_Global!$B$27/12) + Inputs_Global!$B$29, "")</f>
        <v>393184.74976229336</v>
      </c>
    </row>
    <row r="8" spans="1:12" ht="16" customHeight="1" x14ac:dyDescent="0.2">
      <c r="A8" s="4" t="s">
        <v>148</v>
      </c>
      <c r="B8" s="4" t="str">
        <f>IFERROR(VLOOKUP($A8,Locations!$A$4:$J$200,2,FALSE),"")</f>
        <v>Chatswood</v>
      </c>
      <c r="C8" s="4" t="str">
        <f>IFERROR(VLOOKUP($A8,Locations!$A$4:$J$200,4,FALSE),"")</f>
        <v>Westfield</v>
      </c>
      <c r="D8" s="7">
        <f>IFERROR(VLOOKUP($A8,Locations!$A$4:$J$200,5,FALSE),"")</f>
        <v>60</v>
      </c>
      <c r="E8" s="6">
        <f>IFERROR(VLOOKUP($A8,Locations!$A$4:$J$200,6,FALSE),"")</f>
        <v>260000</v>
      </c>
      <c r="F8" s="8">
        <f>IFERROR(VLOOKUP($A8,Locations!$A$4:$J$200,8,FALSE),"")</f>
        <v>0.76115822124943067</v>
      </c>
      <c r="G8" s="6">
        <f>IFERROR(D8*Inputs_Global!$B$5*F8,"")</f>
        <v>1255911.0650615606</v>
      </c>
      <c r="H8" s="6">
        <f>IFERROR(G8*Inputs_Global!$B$7,"")</f>
        <v>753546.63903693634</v>
      </c>
      <c r="I8" s="6">
        <f>IFERROR(-E8-(Inputs_Global!$B$17 + Inputs_Global!$B$18*Inputs_Global!$B$19)-(Inputs_Global!$B$20*(Inputs_Global!$B$17 + Inputs_Global!$B$18*Inputs_Global!$B$19))-(G8*Inputs_Global!$B$8)-(Inputs_Global!$B$9 + G8*Inputs_Global!$B$10)-(Inputs_Global!$B$11)-(Inputs_Global!$B$13*D8)-(Inputs_Global!$B$14)-(Inputs_Global!$B$12)-(Inputs_Global!$B$15*D8/Inputs_Global!$B$16),"")</f>
        <v>-800698.75283863209</v>
      </c>
      <c r="J8" s="6">
        <f t="shared" si="0"/>
        <v>-47152.113801695756</v>
      </c>
      <c r="K8" s="6">
        <f>IFERROR(J8 - MAX(0,J8)*Inputs_Global!$B$21,"")</f>
        <v>-47152.113801695756</v>
      </c>
      <c r="L8" s="6">
        <f>IFERROR((Inputs_Global!$B$15*D8) + ((G8-H8)*Inputs_Global!$B$28/12) + (E8*Inputs_Global!$B$27/12) + Inputs_Global!$B$29, "")</f>
        <v>360591.10650615609</v>
      </c>
    </row>
    <row r="9" spans="1:12" ht="16" customHeight="1" x14ac:dyDescent="0.2">
      <c r="A9" s="4" t="s">
        <v>153</v>
      </c>
      <c r="B9" s="4" t="str">
        <f>IFERROR(VLOOKUP($A9,Locations!$A$4:$J$200,2,FALSE),"")</f>
        <v>Miranda</v>
      </c>
      <c r="C9" s="4" t="str">
        <f>IFERROR(VLOOKUP($A9,Locations!$A$4:$J$200,4,FALSE),"")</f>
        <v>Westfield</v>
      </c>
      <c r="D9" s="7">
        <f>IFERROR(VLOOKUP($A9,Locations!$A$4:$J$200,5,FALSE),"")</f>
        <v>60</v>
      </c>
      <c r="E9" s="6">
        <f>IFERROR(VLOOKUP($A9,Locations!$A$4:$J$200,6,FALSE),"")</f>
        <v>210000</v>
      </c>
      <c r="F9" s="8">
        <f>IFERROR(VLOOKUP($A9,Locations!$A$4:$J$200,8,FALSE),"")</f>
        <v>0.68610410635557717</v>
      </c>
      <c r="G9" s="6">
        <f>IFERROR(D9*Inputs_Global!$B$5*F9,"")</f>
        <v>1132071.7754867023</v>
      </c>
      <c r="H9" s="6">
        <f>IFERROR(G9*Inputs_Global!$B$7,"")</f>
        <v>679243.06529202138</v>
      </c>
      <c r="I9" s="6">
        <f>IFERROR(-E9-(Inputs_Global!$B$17 + Inputs_Global!$B$18*Inputs_Global!$B$19)-(Inputs_Global!$B$20*(Inputs_Global!$B$17 + Inputs_Global!$B$18*Inputs_Global!$B$19))-(G9*Inputs_Global!$B$8)-(Inputs_Global!$B$9 + G9*Inputs_Global!$B$10)-(Inputs_Global!$B$11)-(Inputs_Global!$B$13*D9)-(Inputs_Global!$B$14)-(Inputs_Global!$B$12)-(Inputs_Global!$B$15*D9/Inputs_Global!$B$16),"")</f>
        <v>-743392.23475371546</v>
      </c>
      <c r="J9" s="6">
        <f t="shared" si="0"/>
        <v>-64149.16946169408</v>
      </c>
      <c r="K9" s="6">
        <f>IFERROR(J9 - MAX(0,J9)*Inputs_Global!$B$21,"")</f>
        <v>-64149.16946169408</v>
      </c>
      <c r="L9" s="6">
        <f>IFERROR((Inputs_Global!$B$15*D9) + ((G9-H9)*Inputs_Global!$B$28/12) + (E9*Inputs_Global!$B$27/12) + Inputs_Global!$B$29, "")</f>
        <v>335707.17754867027</v>
      </c>
    </row>
    <row r="10" spans="1:12" ht="16" customHeight="1" x14ac:dyDescent="0.2">
      <c r="A10" s="4" t="s">
        <v>158</v>
      </c>
      <c r="B10" s="4" t="str">
        <f>IFERROR(VLOOKUP($A10,Locations!$A$4:$J$200,2,FALSE),"")</f>
        <v>Warringah Mall</v>
      </c>
      <c r="C10" s="4" t="str">
        <f>IFERROR(VLOOKUP($A10,Locations!$A$4:$J$200,4,FALSE),"")</f>
        <v>Westfield</v>
      </c>
      <c r="D10" s="7">
        <f>IFERROR(VLOOKUP($A10,Locations!$A$4:$J$200,5,FALSE),"")</f>
        <v>60</v>
      </c>
      <c r="E10" s="6">
        <f>IFERROR(VLOOKUP($A10,Locations!$A$4:$J$200,6,FALSE),"")</f>
        <v>250000</v>
      </c>
      <c r="F10" s="8">
        <f>IFERROR(VLOOKUP($A10,Locations!$A$4:$J$200,8,FALSE),"")</f>
        <v>0.67380065235532915</v>
      </c>
      <c r="G10" s="6">
        <f>IFERROR(D10*Inputs_Global!$B$5*F10,"")</f>
        <v>1111771.0763862932</v>
      </c>
      <c r="H10" s="6">
        <f>IFERROR(G10*Inputs_Global!$B$7,"")</f>
        <v>667062.64583177585</v>
      </c>
      <c r="I10" s="6">
        <f>IFERROR(-E10-(Inputs_Global!$B$17 + Inputs_Global!$B$18*Inputs_Global!$B$19)-(Inputs_Global!$B$20*(Inputs_Global!$B$17 + Inputs_Global!$B$18*Inputs_Global!$B$19))-(G10*Inputs_Global!$B$8)-(Inputs_Global!$B$9 + G10*Inputs_Global!$B$10)-(Inputs_Global!$B$11)-(Inputs_Global!$B$13*D10)-(Inputs_Global!$B$14)-(Inputs_Global!$B$12)-(Inputs_Global!$B$15*D10/Inputs_Global!$B$16),"")</f>
        <v>-782194.4935067913</v>
      </c>
      <c r="J10" s="6">
        <f t="shared" si="0"/>
        <v>-115131.84767501545</v>
      </c>
      <c r="K10" s="6">
        <f>IFERROR(J10 - MAX(0,J10)*Inputs_Global!$B$21,"")</f>
        <v>-115131.84767501545</v>
      </c>
      <c r="L10" s="6">
        <f>IFERROR((Inputs_Global!$B$15*D10) + ((G10-H10)*Inputs_Global!$B$28/12) + (E10*Inputs_Global!$B$27/12) + Inputs_Global!$B$29, "")</f>
        <v>343677.10763862933</v>
      </c>
    </row>
    <row r="11" spans="1:12" ht="16" customHeight="1" x14ac:dyDescent="0.2">
      <c r="A11" s="4" t="s">
        <v>163</v>
      </c>
      <c r="B11" s="4" t="str">
        <f>IFERROR(VLOOKUP($A11,Locations!$A$4:$J$200,2,FALSE),"")</f>
        <v>Sydney CBD</v>
      </c>
      <c r="C11" s="4" t="str">
        <f>IFERROR(VLOOKUP($A11,Locations!$A$4:$J$200,4,FALSE),"")</f>
        <v>Street High-End</v>
      </c>
      <c r="D11" s="7">
        <f>IFERROR(VLOOKUP($A11,Locations!$A$4:$J$200,5,FALSE),"")</f>
        <v>60</v>
      </c>
      <c r="E11" s="6">
        <f>IFERROR(VLOOKUP($A11,Locations!$A$4:$J$200,6,FALSE),"")</f>
        <v>450000</v>
      </c>
      <c r="F11" s="8">
        <f>IFERROR(VLOOKUP($A11,Locations!$A$4:$J$200,8,FALSE),"")</f>
        <v>1.0074626865671643</v>
      </c>
      <c r="G11" s="6">
        <f>IFERROR(D11*Inputs_Global!$B$5*F11,"")</f>
        <v>1662313.4328358211</v>
      </c>
      <c r="H11" s="6">
        <f>IFERROR(G11*Inputs_Global!$B$7,"")</f>
        <v>997388.05970149254</v>
      </c>
      <c r="I11" s="6">
        <f>IFERROR(-E11-(Inputs_Global!$B$17 + Inputs_Global!$B$18*Inputs_Global!$B$19)-(Inputs_Global!$B$20*(Inputs_Global!$B$17 + Inputs_Global!$B$18*Inputs_Global!$B$19))-(G11*Inputs_Global!$B$8)-(Inputs_Global!$B$9 + G11*Inputs_Global!$B$10)-(Inputs_Global!$B$11)-(Inputs_Global!$B$13*D11)-(Inputs_Global!$B$14)-(Inputs_Global!$B$12)-(Inputs_Global!$B$15*D11/Inputs_Global!$B$16),"")</f>
        <v>-1014676.4925373134</v>
      </c>
      <c r="J11" s="6">
        <f t="shared" si="0"/>
        <v>-17288.432835820829</v>
      </c>
      <c r="K11" s="6">
        <f>IFERROR(J11 - MAX(0,J11)*Inputs_Global!$B$21,"")</f>
        <v>-17288.432835820829</v>
      </c>
      <c r="L11" s="6">
        <f>IFERROR((Inputs_Global!$B$15*D11) + ((G11-H11)*Inputs_Global!$B$28/12) + (E11*Inputs_Global!$B$27/12) + Inputs_Global!$B$29, "")</f>
        <v>448731.34328358213</v>
      </c>
    </row>
    <row r="12" spans="1:12" ht="16" customHeight="1" x14ac:dyDescent="0.2">
      <c r="A12" s="4" t="s">
        <v>169</v>
      </c>
      <c r="B12" s="4" t="str">
        <f>IFERROR(VLOOKUP($A12,Locations!$A$4:$J$200,2,FALSE),"")</f>
        <v>Sydney CBD</v>
      </c>
      <c r="C12" s="4" t="str">
        <f>IFERROR(VLOOKUP($A12,Locations!$A$4:$J$200,4,FALSE),"")</f>
        <v>Street Prime Strip</v>
      </c>
      <c r="D12" s="7">
        <f>IFERROR(VLOOKUP($A12,Locations!$A$4:$J$200,5,FALSE),"")</f>
        <v>60</v>
      </c>
      <c r="E12" s="6">
        <f>IFERROR(VLOOKUP($A12,Locations!$A$4:$J$200,6,FALSE),"")</f>
        <v>780000</v>
      </c>
      <c r="F12" s="8">
        <f>IFERROR(VLOOKUP($A12,Locations!$A$4:$J$200,8,FALSE),"")</f>
        <v>1.0074626865671643</v>
      </c>
      <c r="G12" s="6">
        <f>IFERROR(D12*Inputs_Global!$B$5*F12,"")</f>
        <v>1662313.4328358211</v>
      </c>
      <c r="H12" s="6">
        <f>IFERROR(G12*Inputs_Global!$B$7,"")</f>
        <v>997388.05970149254</v>
      </c>
      <c r="I12" s="6">
        <f>IFERROR(-E12-(Inputs_Global!$B$17 + Inputs_Global!$B$18*Inputs_Global!$B$19)-(Inputs_Global!$B$20*(Inputs_Global!$B$17 + Inputs_Global!$B$18*Inputs_Global!$B$19))-(G12*Inputs_Global!$B$8)-(Inputs_Global!$B$9 + G12*Inputs_Global!$B$10)-(Inputs_Global!$B$11)-(Inputs_Global!$B$13*D12)-(Inputs_Global!$B$14)-(Inputs_Global!$B$12)-(Inputs_Global!$B$15*D12/Inputs_Global!$B$16),"")</f>
        <v>-1344676.4925373134</v>
      </c>
      <c r="J12" s="6">
        <f t="shared" si="0"/>
        <v>-347288.43283582083</v>
      </c>
      <c r="K12" s="6">
        <f>IFERROR(J12 - MAX(0,J12)*Inputs_Global!$B$21,"")</f>
        <v>-347288.43283582083</v>
      </c>
      <c r="L12" s="6">
        <f>IFERROR((Inputs_Global!$B$15*D12) + ((G12-H12)*Inputs_Global!$B$28/12) + (E12*Inputs_Global!$B$27/12) + Inputs_Global!$B$29, "")</f>
        <v>531231.34328358213</v>
      </c>
    </row>
    <row r="13" spans="1:12" ht="16" customHeight="1" x14ac:dyDescent="0.2">
      <c r="A13" s="4" t="s">
        <v>173</v>
      </c>
      <c r="B13" s="4" t="str">
        <f>IFERROR(VLOOKUP($A13,Locations!$A$4:$J$200,2,FALSE),"")</f>
        <v>Chinatown</v>
      </c>
      <c r="C13" s="4" t="str">
        <f>IFERROR(VLOOKUP($A13,Locations!$A$4:$J$200,4,FALSE),"")</f>
        <v>Street Ethnic Cluster</v>
      </c>
      <c r="D13" s="7">
        <f>IFERROR(VLOOKUP($A13,Locations!$A$4:$J$200,5,FALSE),"")</f>
        <v>60</v>
      </c>
      <c r="E13" s="6">
        <f>IFERROR(VLOOKUP($A13,Locations!$A$4:$J$200,6,FALSE),"")</f>
        <v>180000</v>
      </c>
      <c r="F13" s="8">
        <f>IFERROR(VLOOKUP($A13,Locations!$A$4:$J$200,8,FALSE),"")</f>
        <v>0.96485315358690427</v>
      </c>
      <c r="G13" s="6">
        <f>IFERROR(D13*Inputs_Global!$B$5*F13,"")</f>
        <v>1592007.703418392</v>
      </c>
      <c r="H13" s="6">
        <f>IFERROR(G13*Inputs_Global!$B$7,"")</f>
        <v>955204.62205103517</v>
      </c>
      <c r="I13" s="6">
        <f>IFERROR(-E13-(Inputs_Global!$B$17 + Inputs_Global!$B$18*Inputs_Global!$B$19)-(Inputs_Global!$B$20*(Inputs_Global!$B$17 + Inputs_Global!$B$18*Inputs_Global!$B$19))-(G13*Inputs_Global!$B$8)-(Inputs_Global!$B$9 + G13*Inputs_Global!$B$10)-(Inputs_Global!$B$11)-(Inputs_Global!$B$13*D13)-(Inputs_Global!$B$14)-(Inputs_Global!$B$12)-(Inputs_Global!$B$15*D13/Inputs_Global!$B$16),"")</f>
        <v>-740528.4545016851</v>
      </c>
      <c r="J13" s="6">
        <f t="shared" si="0"/>
        <v>214676.16754935007</v>
      </c>
      <c r="K13" s="6">
        <f>IFERROR(J13 - MAX(0,J13)*Inputs_Global!$B$21,"")</f>
        <v>161007.12566201255</v>
      </c>
      <c r="L13" s="6">
        <f>IFERROR((Inputs_Global!$B$15*D13) + ((G13-H13)*Inputs_Global!$B$28/12) + (E13*Inputs_Global!$B$27/12) + Inputs_Global!$B$29, "")</f>
        <v>374200.77034183918</v>
      </c>
    </row>
    <row r="14" spans="1:12" ht="16" customHeight="1" x14ac:dyDescent="0.2">
      <c r="A14" s="4" t="s">
        <v>179</v>
      </c>
      <c r="B14" s="4" t="str">
        <f>IFERROR(VLOOKUP($A14,Locations!$A$4:$J$200,2,FALSE),"")</f>
        <v>Chatswood</v>
      </c>
      <c r="C14" s="4" t="str">
        <f>IFERROR(VLOOKUP($A14,Locations!$A$4:$J$200,4,FALSE),"")</f>
        <v>Street High Street</v>
      </c>
      <c r="D14" s="7">
        <f>IFERROR(VLOOKUP($A14,Locations!$A$4:$J$200,5,FALSE),"")</f>
        <v>60</v>
      </c>
      <c r="E14" s="6">
        <f>IFERROR(VLOOKUP($A14,Locations!$A$4:$J$200,6,FALSE),"")</f>
        <v>270000</v>
      </c>
      <c r="F14" s="8">
        <f>IFERROR(VLOOKUP($A14,Locations!$A$4:$J$200,8,FALSE),"")</f>
        <v>0.76115822124943067</v>
      </c>
      <c r="G14" s="6">
        <f>IFERROR(D14*Inputs_Global!$B$5*F14,"")</f>
        <v>1255911.0650615606</v>
      </c>
      <c r="H14" s="6">
        <f>IFERROR(G14*Inputs_Global!$B$7,"")</f>
        <v>753546.63903693634</v>
      </c>
      <c r="I14" s="6">
        <f>IFERROR(-E14-(Inputs_Global!$B$17 + Inputs_Global!$B$18*Inputs_Global!$B$19)-(Inputs_Global!$B$20*(Inputs_Global!$B$17 + Inputs_Global!$B$18*Inputs_Global!$B$19))-(G14*Inputs_Global!$B$8)-(Inputs_Global!$B$9 + G14*Inputs_Global!$B$10)-(Inputs_Global!$B$11)-(Inputs_Global!$B$13*D14)-(Inputs_Global!$B$14)-(Inputs_Global!$B$12)-(Inputs_Global!$B$15*D14/Inputs_Global!$B$16),"")</f>
        <v>-810698.75283863209</v>
      </c>
      <c r="J14" s="6">
        <f t="shared" si="0"/>
        <v>-57152.113801695756</v>
      </c>
      <c r="K14" s="6">
        <f>IFERROR(J14 - MAX(0,J14)*Inputs_Global!$B$21,"")</f>
        <v>-57152.113801695756</v>
      </c>
      <c r="L14" s="6">
        <f>IFERROR((Inputs_Global!$B$15*D14) + ((G14-H14)*Inputs_Global!$B$28/12) + (E14*Inputs_Global!$B$27/12) + Inputs_Global!$B$29, "")</f>
        <v>363091.10650615609</v>
      </c>
    </row>
  </sheetData>
  <conditionalFormatting sqref="L4:L14">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election activeCell="A13" sqref="A13"/>
    </sheetView>
  </sheetViews>
  <sheetFormatPr baseColWidth="10" defaultColWidth="8.83203125" defaultRowHeight="15" x14ac:dyDescent="0.2"/>
  <cols>
    <col min="1" max="1" width="80" customWidth="1"/>
    <col min="2" max="2" width="18" customWidth="1"/>
    <col min="3" max="3" width="45" customWidth="1"/>
  </cols>
  <sheetData>
    <row r="1" spans="1:3" x14ac:dyDescent="0.2">
      <c r="A1" s="2" t="s">
        <v>230</v>
      </c>
    </row>
    <row r="2" spans="1:3" ht="16" customHeight="1" x14ac:dyDescent="0.2">
      <c r="A2" s="11" t="s">
        <v>231</v>
      </c>
    </row>
    <row r="3" spans="1:3" ht="16" customHeight="1" x14ac:dyDescent="0.2">
      <c r="A3" s="3" t="s">
        <v>117</v>
      </c>
      <c r="B3" s="3" t="s">
        <v>232</v>
      </c>
      <c r="C3" s="3" t="s">
        <v>233</v>
      </c>
    </row>
    <row r="4" spans="1:3" ht="16" customHeight="1" x14ac:dyDescent="0.2">
      <c r="A4" s="4" t="s">
        <v>165</v>
      </c>
      <c r="B4" s="4" t="s">
        <v>163</v>
      </c>
      <c r="C4" s="4" t="s">
        <v>234</v>
      </c>
    </row>
    <row r="5" spans="1:3" ht="16" customHeight="1" x14ac:dyDescent="0.2">
      <c r="A5" s="4" t="s">
        <v>235</v>
      </c>
      <c r="B5" s="4" t="s">
        <v>163</v>
      </c>
      <c r="C5" s="4" t="s">
        <v>236</v>
      </c>
    </row>
    <row r="6" spans="1:3" ht="16" customHeight="1" x14ac:dyDescent="0.2">
      <c r="A6" s="4" t="s">
        <v>170</v>
      </c>
      <c r="B6" s="4" t="s">
        <v>169</v>
      </c>
      <c r="C6" s="4" t="s">
        <v>234</v>
      </c>
    </row>
    <row r="7" spans="1:3" ht="16" customHeight="1" x14ac:dyDescent="0.2">
      <c r="A7" s="4" t="s">
        <v>237</v>
      </c>
      <c r="B7" s="4" t="s">
        <v>169</v>
      </c>
      <c r="C7" s="4" t="s">
        <v>238</v>
      </c>
    </row>
    <row r="8" spans="1:3" ht="16" customHeight="1" x14ac:dyDescent="0.2">
      <c r="A8" s="4" t="s">
        <v>175</v>
      </c>
      <c r="B8" s="4" t="s">
        <v>173</v>
      </c>
      <c r="C8" s="4" t="s">
        <v>234</v>
      </c>
    </row>
    <row r="9" spans="1:3" ht="16" customHeight="1" x14ac:dyDescent="0.2">
      <c r="A9" s="4" t="s">
        <v>239</v>
      </c>
      <c r="B9" s="4" t="s">
        <v>173</v>
      </c>
      <c r="C9" s="4" t="s">
        <v>240</v>
      </c>
    </row>
    <row r="10" spans="1:3" ht="16" customHeight="1" x14ac:dyDescent="0.2">
      <c r="A10" s="4" t="s">
        <v>140</v>
      </c>
      <c r="B10" s="4" t="s">
        <v>138</v>
      </c>
      <c r="C10" s="4" t="s">
        <v>241</v>
      </c>
    </row>
    <row r="11" spans="1:3" ht="16" customHeight="1" x14ac:dyDescent="0.2">
      <c r="A11" s="4" t="s">
        <v>150</v>
      </c>
      <c r="B11" s="4" t="s">
        <v>148</v>
      </c>
      <c r="C11" s="4" t="s">
        <v>241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workbookViewId="0">
      <selection activeCell="D11" sqref="D11"/>
    </sheetView>
  </sheetViews>
  <sheetFormatPr baseColWidth="10" defaultColWidth="8.83203125" defaultRowHeight="15" x14ac:dyDescent="0.2"/>
  <cols>
    <col min="1" max="1" width="30" customWidth="1"/>
    <col min="2" max="2" width="14" customWidth="1"/>
    <col min="3" max="3" width="32" customWidth="1"/>
    <col min="4" max="4" width="22" customWidth="1"/>
    <col min="5" max="5" width="24" customWidth="1"/>
    <col min="6" max="6" width="18" customWidth="1"/>
    <col min="7" max="7" width="40" customWidth="1"/>
    <col min="8" max="8" width="50" customWidth="1"/>
  </cols>
  <sheetData>
    <row r="1" spans="1:8" ht="19" customHeight="1" x14ac:dyDescent="0.25">
      <c r="A1" s="1" t="s">
        <v>242</v>
      </c>
    </row>
    <row r="3" spans="1:8" ht="16" customHeight="1" x14ac:dyDescent="0.2">
      <c r="A3" s="3" t="s">
        <v>243</v>
      </c>
      <c r="B3" s="3" t="s">
        <v>244</v>
      </c>
      <c r="C3" s="3" t="s">
        <v>245</v>
      </c>
      <c r="D3" s="3" t="s">
        <v>246</v>
      </c>
      <c r="E3" s="3" t="s">
        <v>247</v>
      </c>
      <c r="F3" s="3" t="s">
        <v>248</v>
      </c>
      <c r="G3" s="3" t="s">
        <v>249</v>
      </c>
      <c r="H3" s="3" t="s">
        <v>250</v>
      </c>
    </row>
    <row r="4" spans="1:8" ht="16" customHeight="1" x14ac:dyDescent="0.2">
      <c r="A4" s="46" t="s">
        <v>187</v>
      </c>
      <c r="B4" s="5" t="s">
        <v>251</v>
      </c>
      <c r="C4" s="5" t="s">
        <v>252</v>
      </c>
      <c r="D4" s="5" t="s">
        <v>253</v>
      </c>
      <c r="E4" s="5" t="s">
        <v>254</v>
      </c>
      <c r="F4" s="5" t="s">
        <v>251</v>
      </c>
      <c r="G4" s="5" t="s">
        <v>255</v>
      </c>
      <c r="H4" s="5" t="s">
        <v>256</v>
      </c>
    </row>
    <row r="5" spans="1:8" ht="32" customHeight="1" x14ac:dyDescent="0.2">
      <c r="A5" s="46" t="s">
        <v>257</v>
      </c>
      <c r="B5" s="5" t="s">
        <v>258</v>
      </c>
      <c r="C5" s="5" t="s">
        <v>259</v>
      </c>
      <c r="D5" s="5" t="s">
        <v>253</v>
      </c>
      <c r="E5" s="5" t="s">
        <v>260</v>
      </c>
      <c r="F5" s="5" t="s">
        <v>251</v>
      </c>
      <c r="G5" s="5" t="s">
        <v>261</v>
      </c>
      <c r="H5" s="5" t="s">
        <v>262</v>
      </c>
    </row>
    <row r="6" spans="1:8" ht="48" customHeight="1" x14ac:dyDescent="0.2">
      <c r="A6" s="46" t="s">
        <v>263</v>
      </c>
      <c r="B6" s="5" t="s">
        <v>264</v>
      </c>
      <c r="C6" s="5" t="s">
        <v>265</v>
      </c>
      <c r="D6" s="5" t="s">
        <v>253</v>
      </c>
      <c r="E6" s="5" t="s">
        <v>266</v>
      </c>
      <c r="F6" s="5" t="s">
        <v>251</v>
      </c>
      <c r="G6" s="9" t="s">
        <v>60</v>
      </c>
      <c r="H6" s="5" t="s">
        <v>267</v>
      </c>
    </row>
    <row r="7" spans="1:8" ht="48" customHeight="1" x14ac:dyDescent="0.2">
      <c r="A7" s="46" t="s">
        <v>268</v>
      </c>
      <c r="B7" s="5" t="s">
        <v>191</v>
      </c>
      <c r="C7" s="5" t="s">
        <v>269</v>
      </c>
      <c r="D7" s="5" t="s">
        <v>270</v>
      </c>
      <c r="E7" s="5" t="s">
        <v>94</v>
      </c>
      <c r="F7" s="5" t="s">
        <v>271</v>
      </c>
      <c r="G7" s="9" t="s">
        <v>94</v>
      </c>
      <c r="H7" s="5" t="s">
        <v>272</v>
      </c>
    </row>
    <row r="8" spans="1:8" ht="32" customHeight="1" x14ac:dyDescent="0.2">
      <c r="A8" s="46" t="s">
        <v>273</v>
      </c>
      <c r="B8" s="5" t="s">
        <v>274</v>
      </c>
      <c r="C8" s="5" t="s">
        <v>275</v>
      </c>
      <c r="D8" s="5" t="s">
        <v>276</v>
      </c>
      <c r="E8" s="5" t="s">
        <v>277</v>
      </c>
      <c r="F8" s="5" t="s">
        <v>278</v>
      </c>
      <c r="G8" s="5" t="s">
        <v>279</v>
      </c>
      <c r="H8" s="5" t="s">
        <v>280</v>
      </c>
    </row>
    <row r="9" spans="1:8" ht="64" customHeight="1" x14ac:dyDescent="0.2">
      <c r="A9" s="46" t="s">
        <v>281</v>
      </c>
      <c r="B9" s="5" t="s">
        <v>282</v>
      </c>
      <c r="C9" s="5" t="s">
        <v>283</v>
      </c>
      <c r="D9" s="5" t="s">
        <v>284</v>
      </c>
      <c r="E9" s="5" t="s">
        <v>285</v>
      </c>
      <c r="F9" s="5" t="s">
        <v>286</v>
      </c>
      <c r="G9" s="5" t="s">
        <v>287</v>
      </c>
      <c r="H9" s="5" t="s">
        <v>288</v>
      </c>
    </row>
    <row r="10" spans="1:8" ht="32" customHeight="1" x14ac:dyDescent="0.2">
      <c r="A10" s="46" t="s">
        <v>289</v>
      </c>
      <c r="B10" s="5" t="s">
        <v>290</v>
      </c>
      <c r="C10" s="5" t="s">
        <v>291</v>
      </c>
      <c r="D10" s="5" t="s">
        <v>253</v>
      </c>
      <c r="E10" s="5" t="s">
        <v>292</v>
      </c>
      <c r="F10" s="5" t="s">
        <v>293</v>
      </c>
      <c r="G10" s="5" t="s">
        <v>41</v>
      </c>
      <c r="H10" s="5" t="s">
        <v>294</v>
      </c>
    </row>
    <row r="11" spans="1:8" ht="48" customHeight="1" x14ac:dyDescent="0.2">
      <c r="A11" s="46" t="s">
        <v>295</v>
      </c>
      <c r="B11" s="5" t="s">
        <v>296</v>
      </c>
      <c r="C11" s="5" t="s">
        <v>297</v>
      </c>
      <c r="D11" s="5" t="s">
        <v>253</v>
      </c>
      <c r="E11" s="5" t="s">
        <v>292</v>
      </c>
      <c r="F11" s="5" t="s">
        <v>293</v>
      </c>
      <c r="G11" s="5" t="s">
        <v>298</v>
      </c>
      <c r="H11" s="5" t="s">
        <v>299</v>
      </c>
    </row>
    <row r="12" spans="1:8" ht="48" customHeight="1" x14ac:dyDescent="0.2">
      <c r="A12" s="46" t="s">
        <v>300</v>
      </c>
      <c r="B12" s="5" t="s">
        <v>296</v>
      </c>
      <c r="C12" s="5" t="s">
        <v>301</v>
      </c>
      <c r="D12" s="5" t="s">
        <v>253</v>
      </c>
      <c r="E12" s="5" t="s">
        <v>292</v>
      </c>
      <c r="F12" s="5" t="s">
        <v>293</v>
      </c>
      <c r="G12" s="5" t="s">
        <v>76</v>
      </c>
      <c r="H12" s="5" t="s">
        <v>302</v>
      </c>
    </row>
    <row r="13" spans="1:8" ht="32" customHeight="1" x14ac:dyDescent="0.2">
      <c r="A13" s="46" t="s">
        <v>77</v>
      </c>
      <c r="B13" s="5" t="s">
        <v>303</v>
      </c>
      <c r="C13" s="5" t="s">
        <v>304</v>
      </c>
      <c r="D13" s="5" t="s">
        <v>253</v>
      </c>
      <c r="E13" s="5" t="s">
        <v>292</v>
      </c>
      <c r="F13" s="5" t="s">
        <v>293</v>
      </c>
      <c r="G13" s="5" t="s">
        <v>305</v>
      </c>
      <c r="H13" s="5" t="s">
        <v>306</v>
      </c>
    </row>
    <row r="14" spans="1:8" ht="48" customHeight="1" x14ac:dyDescent="0.2">
      <c r="A14" s="46" t="s">
        <v>307</v>
      </c>
      <c r="B14" s="5" t="s">
        <v>308</v>
      </c>
      <c r="C14" s="5" t="s">
        <v>309</v>
      </c>
      <c r="D14" s="5" t="s">
        <v>253</v>
      </c>
      <c r="E14" s="5" t="s">
        <v>292</v>
      </c>
      <c r="F14" s="5" t="s">
        <v>293</v>
      </c>
      <c r="G14" s="5" t="s">
        <v>310</v>
      </c>
      <c r="H14" s="5" t="s">
        <v>311</v>
      </c>
    </row>
    <row r="15" spans="1:8" ht="32" customHeight="1" x14ac:dyDescent="0.2">
      <c r="A15" s="46" t="s">
        <v>312</v>
      </c>
      <c r="B15" s="5" t="s">
        <v>313</v>
      </c>
      <c r="C15" s="5" t="s">
        <v>314</v>
      </c>
      <c r="D15" s="5" t="s">
        <v>315</v>
      </c>
      <c r="E15" s="5" t="s">
        <v>292</v>
      </c>
      <c r="F15" s="5" t="s">
        <v>316</v>
      </c>
      <c r="G15" s="5" t="s">
        <v>317</v>
      </c>
      <c r="H15" s="5" t="s">
        <v>318</v>
      </c>
    </row>
    <row r="16" spans="1:8" ht="32" customHeight="1" x14ac:dyDescent="0.2">
      <c r="A16" s="46" t="s">
        <v>319</v>
      </c>
      <c r="B16" s="5" t="s">
        <v>320</v>
      </c>
      <c r="C16" s="5" t="s">
        <v>321</v>
      </c>
      <c r="D16" s="5" t="s">
        <v>322</v>
      </c>
      <c r="E16" s="5" t="s">
        <v>94</v>
      </c>
      <c r="F16" s="5" t="s">
        <v>323</v>
      </c>
      <c r="G16" s="9" t="s">
        <v>324</v>
      </c>
      <c r="H16" s="5" t="s">
        <v>325</v>
      </c>
    </row>
    <row r="17" spans="1:8" ht="64" customHeight="1" x14ac:dyDescent="0.2">
      <c r="A17" s="46" t="s">
        <v>326</v>
      </c>
      <c r="B17" s="5" t="s">
        <v>327</v>
      </c>
      <c r="C17" s="5" t="s">
        <v>328</v>
      </c>
      <c r="D17" s="5" t="s">
        <v>329</v>
      </c>
      <c r="E17" s="5" t="s">
        <v>292</v>
      </c>
      <c r="F17" s="5" t="s">
        <v>316</v>
      </c>
      <c r="G17" s="9" t="s">
        <v>330</v>
      </c>
      <c r="H17" s="5" t="s">
        <v>331</v>
      </c>
    </row>
    <row r="18" spans="1:8" ht="32" customHeight="1" x14ac:dyDescent="0.2">
      <c r="A18" s="46" t="s">
        <v>332</v>
      </c>
      <c r="B18" s="5" t="s">
        <v>333</v>
      </c>
      <c r="C18" s="5" t="s">
        <v>334</v>
      </c>
      <c r="D18" s="5" t="s">
        <v>335</v>
      </c>
      <c r="E18" s="5" t="s">
        <v>336</v>
      </c>
      <c r="F18" s="5" t="s">
        <v>337</v>
      </c>
      <c r="G18" s="9" t="s">
        <v>338</v>
      </c>
      <c r="H18" s="5" t="s">
        <v>339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heetViews>
  <sheetFormatPr baseColWidth="10" defaultColWidth="8.83203125" defaultRowHeight="15" x14ac:dyDescent="0.2"/>
  <cols>
    <col min="1" max="1" width="16" customWidth="1"/>
    <col min="2" max="2" width="40" customWidth="1"/>
    <col min="3" max="4" width="12" customWidth="1"/>
  </cols>
  <sheetData>
    <row r="1" spans="1:4" ht="19" customHeight="1" x14ac:dyDescent="0.25">
      <c r="A1" s="1" t="s">
        <v>340</v>
      </c>
    </row>
    <row r="3" spans="1:4" ht="16" customHeight="1" x14ac:dyDescent="0.2">
      <c r="A3" s="3" t="s">
        <v>116</v>
      </c>
      <c r="B3" s="3" t="s">
        <v>341</v>
      </c>
      <c r="C3" s="3" t="s">
        <v>342</v>
      </c>
      <c r="D3" s="3" t="s">
        <v>343</v>
      </c>
    </row>
    <row r="4" spans="1:4" x14ac:dyDescent="0.2">
      <c r="A4" t="s">
        <v>164</v>
      </c>
      <c r="B4" t="s">
        <v>165</v>
      </c>
      <c r="C4">
        <v>-33.868630000000003</v>
      </c>
      <c r="D4">
        <v>151.20703</v>
      </c>
    </row>
    <row r="5" spans="1:4" x14ac:dyDescent="0.2">
      <c r="A5" t="s">
        <v>164</v>
      </c>
      <c r="B5" t="s">
        <v>235</v>
      </c>
      <c r="C5">
        <v>-33.867939999999997</v>
      </c>
      <c r="D5">
        <v>151.20866000000001</v>
      </c>
    </row>
    <row r="6" spans="1:4" x14ac:dyDescent="0.2">
      <c r="A6" t="s">
        <v>164</v>
      </c>
      <c r="B6" t="s">
        <v>170</v>
      </c>
      <c r="C6">
        <v>-33.870440000000002</v>
      </c>
      <c r="D6">
        <v>151.20835</v>
      </c>
    </row>
    <row r="7" spans="1:4" x14ac:dyDescent="0.2">
      <c r="A7" t="s">
        <v>164</v>
      </c>
      <c r="B7" t="s">
        <v>344</v>
      </c>
      <c r="C7">
        <v>-33.869889999999998</v>
      </c>
      <c r="D7">
        <v>151.20653999999999</v>
      </c>
    </row>
    <row r="8" spans="1:4" x14ac:dyDescent="0.2">
      <c r="A8" t="s">
        <v>164</v>
      </c>
      <c r="B8" t="s">
        <v>237</v>
      </c>
      <c r="C8">
        <v>-33.87135</v>
      </c>
      <c r="D8">
        <v>151.20658</v>
      </c>
    </row>
    <row r="9" spans="1:4" x14ac:dyDescent="0.2">
      <c r="A9" t="s">
        <v>174</v>
      </c>
      <c r="B9" t="s">
        <v>345</v>
      </c>
      <c r="C9">
        <v>-33.87668</v>
      </c>
      <c r="D9">
        <v>151.20462000000001</v>
      </c>
    </row>
    <row r="10" spans="1:4" x14ac:dyDescent="0.2">
      <c r="A10" t="s">
        <v>174</v>
      </c>
      <c r="B10" t="s">
        <v>175</v>
      </c>
      <c r="C10">
        <v>-33.877420000000001</v>
      </c>
      <c r="D10">
        <v>151.20391000000001</v>
      </c>
    </row>
    <row r="11" spans="1:4" x14ac:dyDescent="0.2">
      <c r="A11" t="s">
        <v>174</v>
      </c>
      <c r="B11" t="s">
        <v>239</v>
      </c>
      <c r="C11">
        <v>-33.878010000000003</v>
      </c>
      <c r="D11">
        <v>151.20264</v>
      </c>
    </row>
    <row r="12" spans="1:4" x14ac:dyDescent="0.2">
      <c r="A12" t="s">
        <v>149</v>
      </c>
      <c r="B12" t="s">
        <v>150</v>
      </c>
      <c r="C12">
        <v>-33.796579999999999</v>
      </c>
      <c r="D12">
        <v>151.18203</v>
      </c>
    </row>
    <row r="13" spans="1:4" x14ac:dyDescent="0.2">
      <c r="A13" t="s">
        <v>149</v>
      </c>
      <c r="B13" t="s">
        <v>346</v>
      </c>
      <c r="C13">
        <v>-33.796939999999999</v>
      </c>
      <c r="D13">
        <v>151.18075999999999</v>
      </c>
    </row>
    <row r="14" spans="1:4" x14ac:dyDescent="0.2">
      <c r="A14" t="s">
        <v>149</v>
      </c>
      <c r="B14" t="s">
        <v>180</v>
      </c>
      <c r="C14">
        <v>-33.796109999999999</v>
      </c>
      <c r="D14">
        <v>151.18141</v>
      </c>
    </row>
    <row r="15" spans="1:4" x14ac:dyDescent="0.2">
      <c r="A15" t="s">
        <v>139</v>
      </c>
      <c r="B15" t="s">
        <v>140</v>
      </c>
      <c r="C15">
        <v>-33.892699999999998</v>
      </c>
      <c r="D15">
        <v>151.24802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4"/>
  <sheetViews>
    <sheetView workbookViewId="0"/>
  </sheetViews>
  <sheetFormatPr baseColWidth="10" defaultColWidth="8.83203125" defaultRowHeight="15" x14ac:dyDescent="0.2"/>
  <cols>
    <col min="1" max="1" width="22" customWidth="1"/>
    <col min="2" max="2" width="14" customWidth="1"/>
    <col min="3" max="3" width="35" customWidth="1"/>
    <col min="4" max="4" width="18" customWidth="1"/>
    <col min="5" max="6" width="12" customWidth="1"/>
  </cols>
  <sheetData>
    <row r="1" spans="1:6" ht="19" customHeight="1" x14ac:dyDescent="0.25">
      <c r="A1" s="1" t="s">
        <v>347</v>
      </c>
    </row>
    <row r="3" spans="1:6" ht="16" customHeight="1" x14ac:dyDescent="0.2">
      <c r="A3" s="3" t="s">
        <v>348</v>
      </c>
      <c r="B3" s="3" t="s">
        <v>116</v>
      </c>
      <c r="C3" s="3" t="s">
        <v>117</v>
      </c>
      <c r="D3" s="3" t="s">
        <v>349</v>
      </c>
      <c r="E3" s="3" t="s">
        <v>342</v>
      </c>
      <c r="F3" s="3" t="s">
        <v>343</v>
      </c>
    </row>
    <row r="4" spans="1:6" x14ac:dyDescent="0.2">
      <c r="A4" t="s">
        <v>350</v>
      </c>
      <c r="B4" t="s">
        <v>164</v>
      </c>
      <c r="C4" t="s">
        <v>165</v>
      </c>
      <c r="D4" t="s">
        <v>351</v>
      </c>
      <c r="E4">
        <v>-33.868630000000003</v>
      </c>
      <c r="F4">
        <v>151.20703</v>
      </c>
    </row>
    <row r="5" spans="1:6" x14ac:dyDescent="0.2">
      <c r="A5" t="s">
        <v>352</v>
      </c>
      <c r="B5" t="s">
        <v>164</v>
      </c>
      <c r="C5" t="s">
        <v>165</v>
      </c>
      <c r="D5" t="s">
        <v>351</v>
      </c>
      <c r="E5">
        <v>-33.868630000000003</v>
      </c>
      <c r="F5">
        <v>151.20703</v>
      </c>
    </row>
    <row r="6" spans="1:6" x14ac:dyDescent="0.2">
      <c r="A6" t="s">
        <v>353</v>
      </c>
      <c r="B6" t="s">
        <v>164</v>
      </c>
      <c r="C6" t="s">
        <v>165</v>
      </c>
      <c r="D6" t="s">
        <v>351</v>
      </c>
      <c r="E6">
        <v>-33.868630000000003</v>
      </c>
      <c r="F6">
        <v>151.20703</v>
      </c>
    </row>
    <row r="7" spans="1:6" x14ac:dyDescent="0.2">
      <c r="A7" t="s">
        <v>354</v>
      </c>
      <c r="B7" t="s">
        <v>164</v>
      </c>
      <c r="C7" t="s">
        <v>165</v>
      </c>
      <c r="D7" t="s">
        <v>351</v>
      </c>
      <c r="E7">
        <v>-33.868630000000003</v>
      </c>
      <c r="F7">
        <v>151.20703</v>
      </c>
    </row>
    <row r="8" spans="1:6" x14ac:dyDescent="0.2">
      <c r="A8" t="s">
        <v>355</v>
      </c>
      <c r="B8" t="s">
        <v>164</v>
      </c>
      <c r="C8" t="s">
        <v>235</v>
      </c>
      <c r="D8" t="s">
        <v>351</v>
      </c>
      <c r="E8">
        <v>-33.867939999999997</v>
      </c>
      <c r="F8">
        <v>151.20866000000001</v>
      </c>
    </row>
    <row r="9" spans="1:6" x14ac:dyDescent="0.2">
      <c r="A9" t="s">
        <v>356</v>
      </c>
      <c r="B9" t="s">
        <v>164</v>
      </c>
      <c r="C9" t="s">
        <v>235</v>
      </c>
      <c r="D9" t="s">
        <v>351</v>
      </c>
      <c r="E9">
        <v>-33.867939999999997</v>
      </c>
      <c r="F9">
        <v>151.20866000000001</v>
      </c>
    </row>
    <row r="10" spans="1:6" x14ac:dyDescent="0.2">
      <c r="A10" t="s">
        <v>357</v>
      </c>
      <c r="B10" t="s">
        <v>164</v>
      </c>
      <c r="C10" t="s">
        <v>165</v>
      </c>
      <c r="D10" t="s">
        <v>351</v>
      </c>
      <c r="E10">
        <v>-33.868630000000003</v>
      </c>
      <c r="F10">
        <v>151.20703</v>
      </c>
    </row>
    <row r="11" spans="1:6" x14ac:dyDescent="0.2">
      <c r="A11" t="s">
        <v>358</v>
      </c>
      <c r="B11" t="s">
        <v>164</v>
      </c>
      <c r="C11" t="s">
        <v>165</v>
      </c>
      <c r="D11" t="s">
        <v>351</v>
      </c>
      <c r="E11">
        <v>-33.868630000000003</v>
      </c>
      <c r="F11">
        <v>151.20703</v>
      </c>
    </row>
    <row r="12" spans="1:6" x14ac:dyDescent="0.2">
      <c r="A12" t="s">
        <v>359</v>
      </c>
      <c r="B12" t="s">
        <v>164</v>
      </c>
      <c r="C12" t="s">
        <v>170</v>
      </c>
      <c r="D12" t="s">
        <v>351</v>
      </c>
      <c r="E12">
        <v>-33.870440000000002</v>
      </c>
      <c r="F12">
        <v>151.20835</v>
      </c>
    </row>
    <row r="13" spans="1:6" x14ac:dyDescent="0.2">
      <c r="A13" t="s">
        <v>360</v>
      </c>
      <c r="B13" t="s">
        <v>164</v>
      </c>
      <c r="C13" t="s">
        <v>170</v>
      </c>
      <c r="D13" t="s">
        <v>351</v>
      </c>
      <c r="E13">
        <v>-33.870440000000002</v>
      </c>
      <c r="F13">
        <v>151.20835</v>
      </c>
    </row>
    <row r="14" spans="1:6" x14ac:dyDescent="0.2">
      <c r="A14" t="s">
        <v>361</v>
      </c>
      <c r="B14" t="s">
        <v>164</v>
      </c>
      <c r="C14" t="s">
        <v>170</v>
      </c>
      <c r="D14" t="s">
        <v>351</v>
      </c>
      <c r="E14">
        <v>-33.870440000000002</v>
      </c>
      <c r="F14">
        <v>151.20835</v>
      </c>
    </row>
    <row r="15" spans="1:6" x14ac:dyDescent="0.2">
      <c r="A15" t="s">
        <v>362</v>
      </c>
      <c r="B15" t="s">
        <v>164</v>
      </c>
      <c r="C15" t="s">
        <v>237</v>
      </c>
      <c r="D15" t="s">
        <v>363</v>
      </c>
      <c r="E15">
        <v>-33.87135</v>
      </c>
      <c r="F15">
        <v>151.20658</v>
      </c>
    </row>
    <row r="16" spans="1:6" x14ac:dyDescent="0.2">
      <c r="A16" t="s">
        <v>364</v>
      </c>
      <c r="B16" t="s">
        <v>164</v>
      </c>
      <c r="C16" t="s">
        <v>170</v>
      </c>
      <c r="D16" t="s">
        <v>351</v>
      </c>
      <c r="E16">
        <v>-33.870440000000002</v>
      </c>
      <c r="F16">
        <v>151.20835</v>
      </c>
    </row>
    <row r="17" spans="1:6" x14ac:dyDescent="0.2">
      <c r="A17" t="s">
        <v>365</v>
      </c>
      <c r="B17" t="s">
        <v>174</v>
      </c>
      <c r="C17" t="s">
        <v>239</v>
      </c>
      <c r="D17" t="s">
        <v>351</v>
      </c>
      <c r="E17">
        <v>-33.878010000000003</v>
      </c>
      <c r="F17">
        <v>151.20264</v>
      </c>
    </row>
    <row r="18" spans="1:6" x14ac:dyDescent="0.2">
      <c r="A18" t="s">
        <v>366</v>
      </c>
      <c r="B18" t="s">
        <v>174</v>
      </c>
      <c r="C18" t="s">
        <v>175</v>
      </c>
      <c r="D18" t="s">
        <v>367</v>
      </c>
      <c r="E18">
        <v>-33.877420000000001</v>
      </c>
      <c r="F18">
        <v>151.20391000000001</v>
      </c>
    </row>
    <row r="19" spans="1:6" x14ac:dyDescent="0.2">
      <c r="A19" t="s">
        <v>368</v>
      </c>
      <c r="B19" t="s">
        <v>174</v>
      </c>
      <c r="C19" t="s">
        <v>175</v>
      </c>
      <c r="D19" t="s">
        <v>351</v>
      </c>
      <c r="E19">
        <v>-33.877420000000001</v>
      </c>
      <c r="F19">
        <v>151.20391000000001</v>
      </c>
    </row>
    <row r="20" spans="1:6" x14ac:dyDescent="0.2">
      <c r="A20" t="s">
        <v>350</v>
      </c>
      <c r="B20" t="s">
        <v>149</v>
      </c>
      <c r="C20" t="s">
        <v>150</v>
      </c>
      <c r="D20" t="s">
        <v>369</v>
      </c>
      <c r="E20">
        <v>-33.796579999999999</v>
      </c>
      <c r="F20">
        <v>151.18203</v>
      </c>
    </row>
    <row r="21" spans="1:6" x14ac:dyDescent="0.2">
      <c r="A21" t="s">
        <v>352</v>
      </c>
      <c r="B21" t="s">
        <v>149</v>
      </c>
      <c r="C21" t="s">
        <v>150</v>
      </c>
      <c r="D21" t="s">
        <v>369</v>
      </c>
      <c r="E21">
        <v>-33.796579999999999</v>
      </c>
      <c r="F21">
        <v>151.18203</v>
      </c>
    </row>
    <row r="22" spans="1:6" x14ac:dyDescent="0.2">
      <c r="A22" t="s">
        <v>353</v>
      </c>
      <c r="B22" t="s">
        <v>149</v>
      </c>
      <c r="C22" t="s">
        <v>150</v>
      </c>
      <c r="D22" t="s">
        <v>369</v>
      </c>
      <c r="E22">
        <v>-33.796579999999999</v>
      </c>
      <c r="F22">
        <v>151.18203</v>
      </c>
    </row>
    <row r="23" spans="1:6" x14ac:dyDescent="0.2">
      <c r="A23" t="s">
        <v>359</v>
      </c>
      <c r="B23" t="s">
        <v>149</v>
      </c>
      <c r="C23" t="s">
        <v>150</v>
      </c>
      <c r="D23" t="s">
        <v>369</v>
      </c>
      <c r="E23">
        <v>-33.796579999999999</v>
      </c>
      <c r="F23">
        <v>151.18203</v>
      </c>
    </row>
    <row r="24" spans="1:6" x14ac:dyDescent="0.2">
      <c r="A24" t="s">
        <v>361</v>
      </c>
      <c r="B24" t="s">
        <v>149</v>
      </c>
      <c r="C24" t="s">
        <v>150</v>
      </c>
      <c r="D24" t="s">
        <v>369</v>
      </c>
      <c r="E24">
        <v>-33.796579999999999</v>
      </c>
      <c r="F24">
        <v>151.18203</v>
      </c>
    </row>
    <row r="25" spans="1:6" x14ac:dyDescent="0.2">
      <c r="A25" t="s">
        <v>360</v>
      </c>
      <c r="B25" t="s">
        <v>149</v>
      </c>
      <c r="C25" t="s">
        <v>150</v>
      </c>
      <c r="D25" t="s">
        <v>369</v>
      </c>
      <c r="E25">
        <v>-33.796579999999999</v>
      </c>
      <c r="F25">
        <v>151.18203</v>
      </c>
    </row>
    <row r="26" spans="1:6" x14ac:dyDescent="0.2">
      <c r="A26" t="s">
        <v>364</v>
      </c>
      <c r="B26" t="s">
        <v>149</v>
      </c>
      <c r="C26" t="s">
        <v>150</v>
      </c>
      <c r="D26" t="s">
        <v>369</v>
      </c>
      <c r="E26">
        <v>-33.796579999999999</v>
      </c>
      <c r="F26">
        <v>151.18203</v>
      </c>
    </row>
    <row r="27" spans="1:6" x14ac:dyDescent="0.2">
      <c r="A27" t="s">
        <v>365</v>
      </c>
      <c r="B27" t="s">
        <v>149</v>
      </c>
      <c r="C27" t="s">
        <v>150</v>
      </c>
      <c r="D27" t="s">
        <v>369</v>
      </c>
      <c r="E27">
        <v>-33.796579999999999</v>
      </c>
      <c r="F27">
        <v>151.18203</v>
      </c>
    </row>
    <row r="28" spans="1:6" x14ac:dyDescent="0.2">
      <c r="A28" t="s">
        <v>350</v>
      </c>
      <c r="B28" t="s">
        <v>139</v>
      </c>
      <c r="C28" t="s">
        <v>140</v>
      </c>
      <c r="D28" t="s">
        <v>369</v>
      </c>
      <c r="E28">
        <v>-33.892699999999998</v>
      </c>
      <c r="F28">
        <v>151.24802</v>
      </c>
    </row>
    <row r="29" spans="1:6" x14ac:dyDescent="0.2">
      <c r="A29" t="s">
        <v>352</v>
      </c>
      <c r="B29" t="s">
        <v>139</v>
      </c>
      <c r="C29" t="s">
        <v>140</v>
      </c>
      <c r="D29" t="s">
        <v>369</v>
      </c>
      <c r="E29">
        <v>-33.892699999999998</v>
      </c>
      <c r="F29">
        <v>151.24802</v>
      </c>
    </row>
    <row r="30" spans="1:6" x14ac:dyDescent="0.2">
      <c r="A30" t="s">
        <v>353</v>
      </c>
      <c r="B30" t="s">
        <v>139</v>
      </c>
      <c r="C30" t="s">
        <v>140</v>
      </c>
      <c r="D30" t="s">
        <v>369</v>
      </c>
      <c r="E30">
        <v>-33.892699999999998</v>
      </c>
      <c r="F30">
        <v>151.24802</v>
      </c>
    </row>
    <row r="31" spans="1:6" x14ac:dyDescent="0.2">
      <c r="A31" t="s">
        <v>359</v>
      </c>
      <c r="B31" t="s">
        <v>139</v>
      </c>
      <c r="C31" t="s">
        <v>140</v>
      </c>
      <c r="D31" t="s">
        <v>369</v>
      </c>
      <c r="E31">
        <v>-33.892699999999998</v>
      </c>
      <c r="F31">
        <v>151.24802</v>
      </c>
    </row>
    <row r="32" spans="1:6" x14ac:dyDescent="0.2">
      <c r="A32" t="s">
        <v>361</v>
      </c>
      <c r="B32" t="s">
        <v>139</v>
      </c>
      <c r="C32" t="s">
        <v>140</v>
      </c>
      <c r="D32" t="s">
        <v>369</v>
      </c>
      <c r="E32">
        <v>-33.892699999999998</v>
      </c>
      <c r="F32">
        <v>151.24802</v>
      </c>
    </row>
    <row r="33" spans="1:6" x14ac:dyDescent="0.2">
      <c r="A33" t="s">
        <v>360</v>
      </c>
      <c r="B33" t="s">
        <v>139</v>
      </c>
      <c r="C33" t="s">
        <v>140</v>
      </c>
      <c r="D33" t="s">
        <v>369</v>
      </c>
      <c r="E33">
        <v>-33.892699999999998</v>
      </c>
      <c r="F33">
        <v>151.24802</v>
      </c>
    </row>
    <row r="34" spans="1:6" x14ac:dyDescent="0.2">
      <c r="A34" t="s">
        <v>364</v>
      </c>
      <c r="B34" t="s">
        <v>139</v>
      </c>
      <c r="C34" t="s">
        <v>140</v>
      </c>
      <c r="D34" t="s">
        <v>369</v>
      </c>
      <c r="E34">
        <v>-33.892699999999998</v>
      </c>
      <c r="F34">
        <v>151.24802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
  <sheetViews>
    <sheetView workbookViewId="0">
      <selection activeCell="E23" sqref="E23"/>
    </sheetView>
  </sheetViews>
  <sheetFormatPr baseColWidth="10" defaultColWidth="8.83203125" defaultRowHeight="15" x14ac:dyDescent="0.2"/>
  <cols>
    <col min="2" max="2" width="26" customWidth="1"/>
    <col min="3" max="3" width="30" customWidth="1"/>
    <col min="4" max="4" width="26" customWidth="1"/>
    <col min="5" max="5" width="22" customWidth="1"/>
    <col min="6" max="6" width="45" customWidth="1"/>
  </cols>
  <sheetData>
    <row r="1" spans="1:7" ht="19" customHeight="1" x14ac:dyDescent="0.25">
      <c r="A1" s="1" t="s">
        <v>370</v>
      </c>
    </row>
    <row r="4" spans="1:7" ht="32" customHeight="1" x14ac:dyDescent="0.2">
      <c r="B4" s="3" t="s">
        <v>371</v>
      </c>
      <c r="C4" s="3" t="s">
        <v>372</v>
      </c>
      <c r="D4" s="3" t="s">
        <v>373</v>
      </c>
      <c r="E4" s="3" t="s">
        <v>374</v>
      </c>
      <c r="F4" s="3" t="s">
        <v>375</v>
      </c>
      <c r="G4" t="s">
        <v>376</v>
      </c>
    </row>
    <row r="5" spans="1:7" x14ac:dyDescent="0.2">
      <c r="B5" t="s">
        <v>132</v>
      </c>
      <c r="C5" t="s">
        <v>377</v>
      </c>
      <c r="D5" t="s">
        <v>378</v>
      </c>
      <c r="E5" t="s">
        <v>379</v>
      </c>
      <c r="F5" t="s">
        <v>380</v>
      </c>
      <c r="G5" t="s">
        <v>134</v>
      </c>
    </row>
    <row r="6" spans="1:7" x14ac:dyDescent="0.2">
      <c r="B6" t="s">
        <v>132</v>
      </c>
      <c r="C6" t="s">
        <v>381</v>
      </c>
      <c r="D6" t="s">
        <v>382</v>
      </c>
      <c r="E6" t="s">
        <v>379</v>
      </c>
      <c r="F6" t="s">
        <v>383</v>
      </c>
      <c r="G6" t="s">
        <v>137</v>
      </c>
    </row>
    <row r="7" spans="1:7" x14ac:dyDescent="0.2">
      <c r="B7" t="s">
        <v>140</v>
      </c>
      <c r="C7" t="s">
        <v>384</v>
      </c>
      <c r="D7" t="s">
        <v>385</v>
      </c>
      <c r="E7" t="s">
        <v>386</v>
      </c>
      <c r="F7" t="s">
        <v>387</v>
      </c>
      <c r="G7" t="s">
        <v>141</v>
      </c>
    </row>
    <row r="8" spans="1:7" x14ac:dyDescent="0.2">
      <c r="B8" t="s">
        <v>145</v>
      </c>
      <c r="C8" t="s">
        <v>388</v>
      </c>
      <c r="D8" t="s">
        <v>389</v>
      </c>
      <c r="E8" t="s">
        <v>390</v>
      </c>
      <c r="F8" t="s">
        <v>391</v>
      </c>
      <c r="G8" t="s">
        <v>146</v>
      </c>
    </row>
    <row r="9" spans="1:7" x14ac:dyDescent="0.2">
      <c r="B9" t="s">
        <v>150</v>
      </c>
      <c r="C9" t="s">
        <v>388</v>
      </c>
      <c r="D9" t="s">
        <v>392</v>
      </c>
      <c r="E9" t="s">
        <v>393</v>
      </c>
      <c r="F9" t="s">
        <v>394</v>
      </c>
      <c r="G9" t="s">
        <v>151</v>
      </c>
    </row>
    <row r="10" spans="1:7" x14ac:dyDescent="0.2">
      <c r="B10" t="s">
        <v>155</v>
      </c>
      <c r="C10" t="s">
        <v>395</v>
      </c>
      <c r="D10" t="s">
        <v>396</v>
      </c>
      <c r="E10" t="s">
        <v>390</v>
      </c>
      <c r="F10" t="s">
        <v>397</v>
      </c>
      <c r="G10" t="s">
        <v>156</v>
      </c>
    </row>
    <row r="11" spans="1:7" x14ac:dyDescent="0.2">
      <c r="B11" t="s">
        <v>160</v>
      </c>
      <c r="C11" t="s">
        <v>398</v>
      </c>
      <c r="D11" t="s">
        <v>399</v>
      </c>
      <c r="E11" t="s">
        <v>390</v>
      </c>
      <c r="F11" t="s">
        <v>391</v>
      </c>
      <c r="G11" t="s">
        <v>161</v>
      </c>
    </row>
    <row r="14" spans="1:7" x14ac:dyDescent="0.2">
      <c r="B14" t="s">
        <v>400</v>
      </c>
      <c r="D14" t="s">
        <v>401</v>
      </c>
    </row>
  </sheetData>
  <pageMargins left="0.7" right="0.7" top="0.75" bottom="0.75" header="0.3" footer="0.3"/>
</worksheet>
</file>

<file path=xl/worksheets/sheet11.xml><?xml version="1.0" encoding="utf-8"?>
<worksheet xmlns="http://schemas.openxmlformats.org/spreadsheetml/2006/main">
  <dimension ref="A1:X12"/>
  <sheetData>
    <row r="1">
      <c r="A1" t="inlineStr">
        <is>
          <t>Location_ID</t>
        </is>
      </c>
      <c r="B1" t="inlineStr">
        <is>
          <t>Area</t>
        </is>
      </c>
      <c r="C1" t="inlineStr">
        <is>
          <t>Type</t>
        </is>
      </c>
      <c r="D1" t="inlineStr">
        <is>
          <t>Store_Size_sqm</t>
        </is>
      </c>
      <c r="E1" t="inlineStr">
        <is>
          <t>SA2_CODE21</t>
        </is>
      </c>
      <c r="F1" t="inlineStr">
        <is>
          <t>SA2_NAME21</t>
        </is>
      </c>
      <c r="G1" t="inlineStr">
        <is>
          <t>Centroid_Lat</t>
        </is>
      </c>
      <c r="H1" t="inlineStr">
        <is>
          <t>Centroid_Lon</t>
        </is>
      </c>
      <c r="I1" t="inlineStr">
        <is>
          <t>SA2_Mapping_Method</t>
        </is>
      </c>
      <c r="J1" t="inlineStr">
        <is>
          <t>Last_Updated</t>
        </is>
      </c>
      <c r="K1" t="inlineStr">
        <is>
          <t>Sales_Index</t>
        </is>
      </c>
      <c r="L1" t="inlineStr">
        <is>
          <t>Revenue_pa</t>
        </is>
      </c>
      <c r="M1" t="inlineStr">
        <is>
          <t>COGS_pa</t>
        </is>
      </c>
      <c r="N1" t="inlineStr">
        <is>
          <t>Gross_Profit_pa</t>
        </is>
      </c>
      <c r="O1" t="inlineStr">
        <is>
          <t>Rent_pa</t>
        </is>
      </c>
      <c r="P1" t="inlineStr">
        <is>
          <t>Other_OPEX_pa</t>
        </is>
      </c>
      <c r="Q1" t="inlineStr">
        <is>
          <t>Total_OPEX_pa</t>
        </is>
      </c>
      <c r="R1" t="inlineStr">
        <is>
          <t>EBIT_pa</t>
        </is>
      </c>
      <c r="S1" t="inlineStr">
        <is>
          <t>Net_Income_pa</t>
        </is>
      </c>
      <c r="T1" t="inlineStr">
        <is>
          <t>Initial_Investment_AUD</t>
        </is>
      </c>
      <c r="U1" t="inlineStr">
        <is>
          <t>NPV_5y_AUD</t>
        </is>
      </c>
      <c r="V1" t="inlineStr">
        <is>
          <t>Gross_Margin_%</t>
        </is>
      </c>
      <c r="W1" t="inlineStr">
        <is>
          <t>EBIT_Margin_%</t>
        </is>
      </c>
      <c r="X1" t="inlineStr">
        <is>
          <t>Net_Margin_%</t>
        </is>
      </c>
    </row>
    <row r="2">
      <c r="A2" t="inlineStr">
        <is>
          <t>WF_SYD_PRIME</t>
        </is>
      </c>
      <c r="B2" t="inlineStr">
        <is>
          <t>Sydney</t>
        </is>
      </c>
      <c r="C2" t="inlineStr">
        <is>
          <t>Westfield</t>
        </is>
      </c>
      <c r="D2">
        <v>60.0</v>
      </c>
      <c r="E2" t="inlineStr">
        <is>
          <t>117031645</t>
        </is>
      </c>
      <c r="F2" t="inlineStr">
        <is>
          <t>Sydney (South) - Haymarket</t>
        </is>
      </c>
      <c r="G2">
        <v>-33.87706549678715</v>
      </c>
      <c r="H2">
        <v>151.20246709617302</v>
      </c>
      <c r="I2" t="inlineStr">
        <is>
          <t>Area-to-SA2 (manual mapping; edit if needed)</t>
        </is>
      </c>
      <c r="J2" t="inlineStr">
        <is>
          <t>2026-02-14</t>
        </is>
      </c>
      <c r="K2">
        <v>1.0361097737120848</v>
      </c>
      <c r="L2">
        <v>1709581.12662494</v>
      </c>
      <c r="M2">
        <v>683832.450649976</v>
      </c>
      <c r="N2">
        <v>1025748.6759749639</v>
      </c>
      <c r="O2">
        <v>485000.0</v>
      </c>
      <c r="P2">
        <v>567465.2864708714</v>
      </c>
      <c r="Q2">
        <v>1052465.2864708714</v>
      </c>
      <c r="R2">
        <v>-26716.610495907487</v>
      </c>
      <c r="S2">
        <v>-26716.610495907487</v>
      </c>
      <c r="T2">
        <v>462208.112662494</v>
      </c>
      <c r="U2">
        <v>-593910.9946446944</v>
      </c>
      <c r="V2">
        <v>0.6</v>
      </c>
      <c r="W2">
        <v>-0.015627576884082416</v>
      </c>
      <c r="X2">
        <v>-0.015627576884082416</v>
      </c>
    </row>
    <row r="3">
      <c r="A3" t="inlineStr">
        <is>
          <t>WF_SYD_SECOND</t>
        </is>
      </c>
      <c r="B3" t="inlineStr">
        <is>
          <t>Sydney</t>
        </is>
      </c>
      <c r="C3" t="inlineStr">
        <is>
          <t>Westfield</t>
        </is>
      </c>
      <c r="D3">
        <v>60.0</v>
      </c>
      <c r="E3" t="inlineStr">
        <is>
          <t>117031645</t>
        </is>
      </c>
      <c r="F3" t="inlineStr">
        <is>
          <t>Sydney (South) - Haymarket</t>
        </is>
      </c>
      <c r="G3">
        <v>-33.87706549678715</v>
      </c>
      <c r="H3">
        <v>151.20246709617302</v>
      </c>
      <c r="I3" t="inlineStr">
        <is>
          <t>Area-to-SA2 (manual mapping; edit if needed)</t>
        </is>
      </c>
      <c r="J3" t="inlineStr">
        <is>
          <t>2026-02-14</t>
        </is>
      </c>
      <c r="K3">
        <v>1.0361097737120848</v>
      </c>
      <c r="L3">
        <v>1709581.12662494</v>
      </c>
      <c r="M3">
        <v>683832.450649976</v>
      </c>
      <c r="N3">
        <v>1025748.6759749639</v>
      </c>
      <c r="O3">
        <v>350000.0</v>
      </c>
      <c r="P3">
        <v>567465.2864708714</v>
      </c>
      <c r="Q3">
        <v>917465.2864708714</v>
      </c>
      <c r="R3">
        <v>108283.38950409251</v>
      </c>
      <c r="S3">
        <v>81212.54212806938</v>
      </c>
      <c r="T3">
        <v>428458.112662494</v>
      </c>
      <c r="U3">
        <v>-28110.70133926411</v>
      </c>
      <c r="V3">
        <v>0.6</v>
      </c>
      <c r="W3">
        <v>0.06333913484285235</v>
      </c>
      <c r="X3">
        <v>0.047504351132139265</v>
      </c>
    </row>
    <row r="4">
      <c r="A4" t="inlineStr">
        <is>
          <t>WF_BONDI</t>
        </is>
      </c>
      <c r="B4" t="inlineStr">
        <is>
          <t>Bondi Junction</t>
        </is>
      </c>
      <c r="C4" t="inlineStr">
        <is>
          <t>Westfield</t>
        </is>
      </c>
      <c r="D4">
        <v>60.0</v>
      </c>
      <c r="E4" t="inlineStr">
        <is>
          <t>118011341</t>
        </is>
      </c>
      <c r="F4" t="inlineStr">
        <is>
          <t>Bondi Junction - Waverly</t>
        </is>
      </c>
      <c r="G4">
        <v>-33.896087615981116</v>
      </c>
      <c r="H4">
        <v>151.25305047718362</v>
      </c>
      <c r="I4" t="inlineStr">
        <is>
          <t>Area-to-SA2 (manual mapping; edit if needed)</t>
        </is>
      </c>
      <c r="J4" t="inlineStr">
        <is>
          <t>2026-02-14</t>
        </is>
      </c>
      <c r="K4">
        <v>0.874555214143045</v>
      </c>
      <c r="L4">
        <v>1443016.1033360243</v>
      </c>
      <c r="M4">
        <v>577206.4413344098</v>
      </c>
      <c r="N4">
        <v>865809.6620016146</v>
      </c>
      <c r="O4">
        <v>287500.0</v>
      </c>
      <c r="P4">
        <v>551737.9500968254</v>
      </c>
      <c r="Q4">
        <v>839237.9500968254</v>
      </c>
      <c r="R4">
        <v>26571.711904789205</v>
      </c>
      <c r="S4">
        <v>19928.783928591904</v>
      </c>
      <c r="T4">
        <v>386176.6103336024</v>
      </c>
      <c r="U4">
        <v>-287935.17067949043</v>
      </c>
      <c r="V4">
        <v>0.6</v>
      </c>
      <c r="W4">
        <v>0.018414009270831852</v>
      </c>
      <c r="X4">
        <v>0.013810506953123889</v>
      </c>
    </row>
    <row r="5">
      <c r="A5" t="inlineStr">
        <is>
          <t>WF_PARRA</t>
        </is>
      </c>
      <c r="B5" t="inlineStr">
        <is>
          <t>Parramatta</t>
        </is>
      </c>
      <c r="C5" t="inlineStr">
        <is>
          <t>Westfield</t>
        </is>
      </c>
      <c r="D5">
        <v>60.0</v>
      </c>
      <c r="E5" t="inlineStr">
        <is>
          <t>125041718</t>
        </is>
      </c>
      <c r="F5" t="inlineStr">
        <is>
          <t>Parramatta - South</t>
        </is>
      </c>
      <c r="G5">
        <v>-33.82318965265661</v>
      </c>
      <c r="H5">
        <v>151.000051100247</v>
      </c>
      <c r="I5" t="inlineStr">
        <is>
          <t>Area-to-SA2 (manual mapping; edit if needed)</t>
        </is>
      </c>
      <c r="J5" t="inlineStr">
        <is>
          <t>2026-02-14</t>
        </is>
      </c>
      <c r="K5">
        <v>0.9738469682563233</v>
      </c>
      <c r="L5">
        <v>1606847.4976229335</v>
      </c>
      <c r="M5">
        <v>642738.9990491734</v>
      </c>
      <c r="N5">
        <v>964108.49857376</v>
      </c>
      <c r="O5">
        <v>250000.0</v>
      </c>
      <c r="P5">
        <v>561404.0023597531</v>
      </c>
      <c r="Q5">
        <v>811404.0023597531</v>
      </c>
      <c r="R5">
        <v>152704.4962140069</v>
      </c>
      <c r="S5">
        <v>114528.37216050518</v>
      </c>
      <c r="T5">
        <v>393184.74976229336</v>
      </c>
      <c r="U5">
        <v>171397.2238596634</v>
      </c>
      <c r="V5">
        <v>0.6</v>
      </c>
      <c r="W5">
        <v>0.09503359618128546</v>
      </c>
      <c r="X5">
        <v>0.0712751971359641</v>
      </c>
    </row>
    <row r="6">
      <c r="A6" t="inlineStr">
        <is>
          <t>WF_CHATSWOOD</t>
        </is>
      </c>
      <c r="B6" t="inlineStr">
        <is>
          <t>Chatswood</t>
        </is>
      </c>
      <c r="C6" t="inlineStr">
        <is>
          <t>Westfield</t>
        </is>
      </c>
      <c r="D6">
        <v>60.0</v>
      </c>
      <c r="E6" t="inlineStr">
        <is>
          <t>121011684</t>
        </is>
      </c>
      <c r="F6" t="inlineStr">
        <is>
          <t>Chatswood - East</t>
        </is>
      </c>
      <c r="G6">
        <v>-33.79365251843892</v>
      </c>
      <c r="H6">
        <v>151.18754892264127</v>
      </c>
      <c r="I6" t="inlineStr">
        <is>
          <t>Area-to-SA2 (manual mapping; edit if needed)</t>
        </is>
      </c>
      <c r="J6" t="inlineStr">
        <is>
          <t>2026-02-14</t>
        </is>
      </c>
      <c r="K6">
        <v>0.7611582212494307</v>
      </c>
      <c r="L6">
        <v>1255911.0650615606</v>
      </c>
      <c r="M6">
        <v>502364.42602462426</v>
      </c>
      <c r="N6">
        <v>753546.6390369363</v>
      </c>
      <c r="O6">
        <v>260000.0</v>
      </c>
      <c r="P6">
        <v>540698.7528386321</v>
      </c>
      <c r="Q6">
        <v>800698.7528386321</v>
      </c>
      <c r="R6">
        <v>-47152.113801695756</v>
      </c>
      <c r="S6">
        <v>-47152.113801695756</v>
      </c>
      <c r="T6">
        <v>360591.1065061561</v>
      </c>
      <c r="U6">
        <v>-593033.3648602722</v>
      </c>
      <c r="V6">
        <v>0.6</v>
      </c>
      <c r="W6">
        <v>-0.03754415030922951</v>
      </c>
      <c r="X6">
        <v>-0.03754415030922951</v>
      </c>
    </row>
    <row r="7">
      <c r="A7" t="inlineStr">
        <is>
          <t>WF_MIRANDA</t>
        </is>
      </c>
      <c r="B7" t="inlineStr">
        <is>
          <t>Miranda</t>
        </is>
      </c>
      <c r="C7" t="inlineStr">
        <is>
          <t>Westfield</t>
        </is>
      </c>
      <c r="D7">
        <v>60.0</v>
      </c>
      <c r="E7" t="inlineStr">
        <is>
          <t>128011530</t>
        </is>
      </c>
      <c r="F7" t="inlineStr">
        <is>
          <t>Miranda - Yowie Bay</t>
        </is>
      </c>
      <c r="G7">
        <v>-34.04750997831825</v>
      </c>
      <c r="H7">
        <v>151.1045206824222</v>
      </c>
      <c r="I7" t="inlineStr">
        <is>
          <t>Area-to-SA2 (manual mapping; edit if needed)</t>
        </is>
      </c>
      <c r="J7" t="inlineStr">
        <is>
          <t>2026-02-14</t>
        </is>
      </c>
      <c r="K7">
        <v>0.6861041063555772</v>
      </c>
      <c r="L7">
        <v>1132071.7754867023</v>
      </c>
      <c r="M7">
        <v>452828.71019468096</v>
      </c>
      <c r="N7">
        <v>679243.0652920214</v>
      </c>
      <c r="O7">
        <v>210000.0</v>
      </c>
      <c r="P7">
        <v>533392.2347537155</v>
      </c>
      <c r="Q7">
        <v>743392.2347537155</v>
      </c>
      <c r="R7">
        <v>-64149.16946169408</v>
      </c>
      <c r="S7">
        <v>-64149.16946169408</v>
      </c>
      <c r="T7">
        <v>335707.17754867027</v>
      </c>
      <c r="U7">
        <v>-651938.5533874521</v>
      </c>
      <c r="V7">
        <v>0.6</v>
      </c>
      <c r="W7">
        <v>-0.05666528470256663</v>
      </c>
      <c r="X7">
        <v>-0.05666528470256663</v>
      </c>
    </row>
    <row r="8">
      <c r="A8" t="inlineStr">
        <is>
          <t>WF_WARRINGAH</t>
        </is>
      </c>
      <c r="B8" t="inlineStr">
        <is>
          <t>Warringah Mall</t>
        </is>
      </c>
      <c r="C8" t="inlineStr">
        <is>
          <t>Westfield</t>
        </is>
      </c>
      <c r="D8">
        <v>60.0</v>
      </c>
      <c r="E8" t="inlineStr">
        <is>
          <t>122031429</t>
        </is>
      </c>
      <c r="F8" t="inlineStr">
        <is>
          <t>Freshwater - Brookvale</t>
        </is>
      </c>
      <c r="G8">
        <v>-33.77291249039971</v>
      </c>
      <c r="H8">
        <v>151.28261787041208</v>
      </c>
      <c r="I8" t="inlineStr">
        <is>
          <t>Area-to-SA2 (manual mapping; edit if needed)</t>
        </is>
      </c>
      <c r="J8" t="inlineStr">
        <is>
          <t>2026-02-14</t>
        </is>
      </c>
      <c r="K8">
        <v>0.6738006523553292</v>
      </c>
      <c r="L8">
        <v>1111771.0763862932</v>
      </c>
      <c r="M8">
        <v>444708.4305545173</v>
      </c>
      <c r="N8">
        <v>667062.6458317759</v>
      </c>
      <c r="O8">
        <v>250000.0</v>
      </c>
      <c r="P8">
        <v>532194.4935067913</v>
      </c>
      <c r="Q8">
        <v>782194.4935067913</v>
      </c>
      <c r="R8">
        <v>-115131.84767501545</v>
      </c>
      <c r="S8">
        <v>-115131.84767501545</v>
      </c>
      <c r="T8">
        <v>343677.1076386293</v>
      </c>
      <c r="U8">
        <v>-911233.9894915111</v>
      </c>
      <c r="V8">
        <v>0.6</v>
      </c>
      <c r="W8">
        <v>-0.1035571531949191</v>
      </c>
      <c r="X8">
        <v>-0.1035571531949191</v>
      </c>
    </row>
    <row r="9">
      <c r="A9" t="inlineStr">
        <is>
          <t>ST_CBD_CASTL</t>
        </is>
      </c>
      <c r="B9" t="inlineStr">
        <is>
          <t>Sydney CBD</t>
        </is>
      </c>
      <c r="C9" t="inlineStr">
        <is>
          <t>Street High-End</t>
        </is>
      </c>
      <c r="D9">
        <v>60.0</v>
      </c>
      <c r="E9" t="inlineStr">
        <is>
          <t>117031645</t>
        </is>
      </c>
      <c r="F9" t="inlineStr">
        <is>
          <t>Sydney (South) - Haymarket</t>
        </is>
      </c>
      <c r="G9">
        <v>-33.87706549678715</v>
      </c>
      <c r="H9">
        <v>151.20246709617302</v>
      </c>
      <c r="I9" t="inlineStr">
        <is>
          <t>Area-to-SA2 (manual mapping; edit if needed)</t>
        </is>
      </c>
      <c r="J9" t="inlineStr">
        <is>
          <t>2026-02-14</t>
        </is>
      </c>
      <c r="K9">
        <v>1.0074626865671643</v>
      </c>
      <c r="L9">
        <v>1662313.432835821</v>
      </c>
      <c r="M9">
        <v>664925.3731343285</v>
      </c>
      <c r="N9">
        <v>997388.0597014925</v>
      </c>
      <c r="O9">
        <v>450000.0</v>
      </c>
      <c r="P9">
        <v>564676.4925373134</v>
      </c>
      <c r="Q9">
        <v>1014676.4925373134</v>
      </c>
      <c r="R9">
        <v>-17288.43283582083</v>
      </c>
      <c r="S9">
        <v>-17288.43283582083</v>
      </c>
      <c r="T9">
        <v>448731.34328358213</v>
      </c>
      <c r="U9">
        <v>-533956.841098213</v>
      </c>
      <c r="V9">
        <v>0.6</v>
      </c>
      <c r="W9">
        <v>-0.010400224466891093</v>
      </c>
      <c r="X9">
        <v>-0.010400224466891093</v>
      </c>
    </row>
    <row r="10">
      <c r="A10" t="inlineStr">
        <is>
          <t>ST_CBD_PITT</t>
        </is>
      </c>
      <c r="B10" t="inlineStr">
        <is>
          <t>Sydney CBD</t>
        </is>
      </c>
      <c r="C10" t="inlineStr">
        <is>
          <t>Street Prime Strip</t>
        </is>
      </c>
      <c r="D10">
        <v>60.0</v>
      </c>
      <c r="E10" t="inlineStr">
        <is>
          <t>117031645</t>
        </is>
      </c>
      <c r="F10" t="inlineStr">
        <is>
          <t>Sydney (South) - Haymarket</t>
        </is>
      </c>
      <c r="G10">
        <v>-33.87706549678715</v>
      </c>
      <c r="H10">
        <v>151.20246709617302</v>
      </c>
      <c r="I10" t="inlineStr">
        <is>
          <t>Area-to-SA2 (manual mapping; edit if needed)</t>
        </is>
      </c>
      <c r="J10" t="inlineStr">
        <is>
          <t>2026-02-14</t>
        </is>
      </c>
      <c r="K10">
        <v>1.0074626865671643</v>
      </c>
      <c r="L10">
        <v>1662313.432835821</v>
      </c>
      <c r="M10">
        <v>664925.3731343285</v>
      </c>
      <c r="N10">
        <v>997388.0597014925</v>
      </c>
      <c r="O10">
        <v>780000.0</v>
      </c>
      <c r="P10">
        <v>564676.4925373134</v>
      </c>
      <c r="Q10">
        <v>1344676.4925373134</v>
      </c>
      <c r="R10">
        <v>-347288.43283582083</v>
      </c>
      <c r="S10">
        <v>-347288.43283582083</v>
      </c>
      <c r="T10">
        <v>531231.3432835821</v>
      </c>
      <c r="U10">
        <v>-2243233.2265526373</v>
      </c>
      <c r="V10">
        <v>0.6</v>
      </c>
      <c r="W10">
        <v>-0.20891874298540958</v>
      </c>
      <c r="X10">
        <v>-0.20891874298540958</v>
      </c>
    </row>
    <row r="11">
      <c r="A11" t="inlineStr">
        <is>
          <t>ST_CHIN_HAY</t>
        </is>
      </c>
      <c r="B11" t="inlineStr">
        <is>
          <t>Chinatown</t>
        </is>
      </c>
      <c r="C11" t="inlineStr">
        <is>
          <t>Street Ethnic Cluster</t>
        </is>
      </c>
      <c r="D11">
        <v>60.0</v>
      </c>
      <c r="E11" t="inlineStr">
        <is>
          <t>117031645</t>
        </is>
      </c>
      <c r="F11" t="inlineStr">
        <is>
          <t>Sydney (South) - Haymarket</t>
        </is>
      </c>
      <c r="G11">
        <v>-33.87706549678715</v>
      </c>
      <c r="H11">
        <v>151.20246709617302</v>
      </c>
      <c r="I11" t="inlineStr">
        <is>
          <t>Area-to-SA2 (manual mapping; edit if needed)</t>
        </is>
      </c>
      <c r="J11" t="inlineStr">
        <is>
          <t>2026-02-14</t>
        </is>
      </c>
      <c r="K11">
        <v>0.9648531535869043</v>
      </c>
      <c r="L11">
        <v>1592007.703418392</v>
      </c>
      <c r="M11">
        <v>636803.0813673568</v>
      </c>
      <c r="N11">
        <v>955204.6220510352</v>
      </c>
      <c r="O11">
        <v>180000.0</v>
      </c>
      <c r="P11">
        <v>560528.4545016851</v>
      </c>
      <c r="Q11">
        <v>740528.4545016851</v>
      </c>
      <c r="R11">
        <v>214676.16754935007</v>
      </c>
      <c r="S11">
        <v>161007.12566201255</v>
      </c>
      <c r="T11">
        <v>374200.7703418392</v>
      </c>
      <c r="U11">
        <v>419504.04758802475</v>
      </c>
      <c r="V11">
        <v>0.6</v>
      </c>
      <c r="W11">
        <v>0.1348461864150487</v>
      </c>
      <c r="X11">
        <v>0.10113463981128654</v>
      </c>
    </row>
    <row r="12">
      <c r="A12" t="inlineStr">
        <is>
          <t>ST_CHAT_VIC</t>
        </is>
      </c>
      <c r="B12" t="inlineStr">
        <is>
          <t>Chatswood</t>
        </is>
      </c>
      <c r="C12" t="inlineStr">
        <is>
          <t>Street High Street</t>
        </is>
      </c>
      <c r="D12">
        <v>60.0</v>
      </c>
      <c r="E12" t="inlineStr">
        <is>
          <t>121011684</t>
        </is>
      </c>
      <c r="F12" t="inlineStr">
        <is>
          <t>Chatswood - East</t>
        </is>
      </c>
      <c r="G12">
        <v>-33.79365251843892</v>
      </c>
      <c r="H12">
        <v>151.18754892264127</v>
      </c>
      <c r="I12" t="inlineStr">
        <is>
          <t>Area-to-SA2 (manual mapping; edit if needed)</t>
        </is>
      </c>
      <c r="J12" t="inlineStr">
        <is>
          <t>2026-02-14</t>
        </is>
      </c>
      <c r="K12">
        <v>0.7611582212494307</v>
      </c>
      <c r="L12">
        <v>1255911.0650615606</v>
      </c>
      <c r="M12">
        <v>502364.42602462426</v>
      </c>
      <c r="N12">
        <v>753546.6390369363</v>
      </c>
      <c r="O12">
        <v>270000.0</v>
      </c>
      <c r="P12">
        <v>540698.7528386321</v>
      </c>
      <c r="Q12">
        <v>810698.7528386321</v>
      </c>
      <c r="R12">
        <v>-57152.113801695756</v>
      </c>
      <c r="S12">
        <v>-57152.113801695756</v>
      </c>
      <c r="T12">
        <v>363091.1065061561</v>
      </c>
      <c r="U12">
        <v>-644829.6189649517</v>
      </c>
      <c r="V12">
        <v>0.6</v>
      </c>
      <c r="W12">
        <v>-0.04550649754717652</v>
      </c>
      <c r="X12">
        <v>-0.04550649754717652</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Inputs_Global</vt:lpstr>
      <vt:lpstr>Locations</vt:lpstr>
      <vt:lpstr>P&amp;L_Annual</vt:lpstr>
      <vt:lpstr>LocationOutputs</vt:lpstr>
      <vt:lpstr>Mappings</vt:lpstr>
      <vt:lpstr>Metrics_Library</vt:lpstr>
      <vt:lpstr>Input_Data_Clusters</vt:lpstr>
      <vt:lpstr>Input_Data_Brands</vt:lpstr>
      <vt:lpstr>Input_Data_WestfieldRent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Maksim Katunin</cp:lastModifiedBy>
  <dcterms:created xsi:type="dcterms:W3CDTF">2026-02-05T00:48:49Z</dcterms:created>
  <dcterms:modified xsi:type="dcterms:W3CDTF">2026-02-11T08:42:19Z</dcterms:modified>
</cp:coreProperties>
</file>